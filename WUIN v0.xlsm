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ÜIN\"/>
    </mc:Choice>
  </mc:AlternateContent>
  <xr:revisionPtr revIDLastSave="0" documentId="13_ncr:1_{4184FF39-0C4F-4F41-919F-AB90B04B038D}" xr6:coauthVersionLast="47" xr6:coauthVersionMax="47" xr10:uidLastSave="{00000000-0000-0000-0000-000000000000}"/>
  <bookViews>
    <workbookView xWindow="-120" yWindow="-120" windowWidth="38640" windowHeight="15840" tabRatio="879" activeTab="3" xr2:uid="{BA2B1D29-95DC-410A-9237-52CC875DE227}"/>
  </bookViews>
  <sheets>
    <sheet name="Hoja1" sheetId="26" r:id="rId1"/>
    <sheet name="Hoja1 (2)" sheetId="25" r:id="rId2"/>
    <sheet name="PEDIDO" sheetId="28" r:id="rId3"/>
    <sheet name="CALENDARIO ESCOLAR" sheetId="30" r:id="rId4"/>
    <sheet name="PANEL DE CONTROL" sheetId="29" r:id="rId5"/>
    <sheet name="Hoja2" sheetId="27" r:id="rId6"/>
    <sheet name="PARAMETROS" sheetId="14" r:id="rId7"/>
    <sheet name="CALENDARIO" sheetId="13" r:id="rId8"/>
    <sheet name="FRECUENCIA" sheetId="17" r:id="rId9"/>
    <sheet name="ANALISIS_NUTRICIONAL" sheetId="16" r:id="rId10"/>
    <sheet name="ANALISIS_NUTRICIONAL_IMPORTAR" sheetId="23" r:id="rId11"/>
    <sheet name="ESTRUCTURAS" sheetId="24" r:id="rId12"/>
    <sheet name="EMPRESA" sheetId="19" r:id="rId13"/>
    <sheet name="CUPOS" sheetId="20" r:id="rId14"/>
    <sheet name="ANEXO_6A_IMPORTAR" sheetId="21" r:id="rId15"/>
  </sheets>
  <externalReferences>
    <externalReference r:id="rId16"/>
    <externalReference r:id="rId17"/>
  </externalReferences>
  <definedNames>
    <definedName name="___xlnm.Print_Area_2" localSheetId="0">#REF!</definedName>
    <definedName name="___xlnm.Print_Area_2" localSheetId="1">#REF!</definedName>
    <definedName name="___xlnm.Print_Area_2" localSheetId="4">#REF!</definedName>
    <definedName name="___xlnm.Print_Area_2">#REF!</definedName>
    <definedName name="___xlnm.Print_Area_7" localSheetId="0">#REF!</definedName>
    <definedName name="___xlnm.Print_Area_7" localSheetId="1">#REF!</definedName>
    <definedName name="___xlnm.Print_Area_7" localSheetId="4">#REF!</definedName>
    <definedName name="___xlnm.Print_Area_7">#REF!</definedName>
    <definedName name="__xlnm.Print_Area_2" localSheetId="0">#REF!</definedName>
    <definedName name="__xlnm.Print_Area_2" localSheetId="1">#REF!</definedName>
    <definedName name="__xlnm.Print_Area_2" localSheetId="4">#REF!</definedName>
    <definedName name="__xlnm.Print_Area_2">#REF!</definedName>
    <definedName name="__xlnm.Print_Area_7">#REF!</definedName>
    <definedName name="A" localSheetId="0">#REF!</definedName>
    <definedName name="A" localSheetId="1">#REF!</definedName>
    <definedName name="A" localSheetId="4">#REF!</definedName>
    <definedName name="A">#REF!</definedName>
    <definedName name="ALIMENTOSINFANTILES" localSheetId="0">#REF!</definedName>
    <definedName name="ALIMENTOSINFANTILES" localSheetId="1">#REF!</definedName>
    <definedName name="ALIMENTOSINFANTILES" localSheetId="4">#REF!</definedName>
    <definedName name="ALIMENTOSINFANTILES">#REF!</definedName>
    <definedName name="ALIMENTOSMANUFACTURADOS" localSheetId="0">#REF!</definedName>
    <definedName name="ALIMENTOSMANUFACTURADOS" localSheetId="1">#REF!</definedName>
    <definedName name="ALIMENTOSMANUFACTURADOS" localSheetId="4">#REF!</definedName>
    <definedName name="ALIMENTOSMANUFACTURADOS">#REF!</definedName>
    <definedName name="ALIMENTOSNATIVOS">#REF!</definedName>
    <definedName name="_xlnm.Print_Area" localSheetId="9">ANALISIS_NUTRICIONAL!$A$1:$L$507</definedName>
    <definedName name="_xlnm.Print_Area" localSheetId="10">ANALISIS_NUTRICIONAL_IMPORTAR!$A$1:$L$21</definedName>
    <definedName name="_xlnm.Print_Area" localSheetId="7">CALENDARIO!$A$1:$W$54</definedName>
    <definedName name="_xlnm.Print_Area" localSheetId="8">FRECUENCIA!$A$1:$X$41</definedName>
    <definedName name="_xlnm.Print_Area" localSheetId="0">Hoja1!$A$1:$J$50</definedName>
    <definedName name="_xlnm.Print_Area" localSheetId="1">'Hoja1 (2)'!$A$1:$S$38</definedName>
    <definedName name="_xlnm.Print_Area" localSheetId="2">PEDIDO!$A$1:$W$54</definedName>
    <definedName name="ARSEA" localSheetId="4">#REF!</definedName>
    <definedName name="ARSEA">#REF!</definedName>
    <definedName name="ATLANTICO" localSheetId="0">#REF!</definedName>
    <definedName name="ATLANTICO" localSheetId="1">#REF!</definedName>
    <definedName name="ATLANTICO" localSheetId="4">#REF!</definedName>
    <definedName name="ATLANTICO">#REF!</definedName>
    <definedName name="BOGOTA" localSheetId="0">#REF!</definedName>
    <definedName name="BOGOTA" localSheetId="1">#REF!</definedName>
    <definedName name="BOGOTA" localSheetId="4">#REF!</definedName>
    <definedName name="BOGOTA">#REF!</definedName>
    <definedName name="BOLIVAR" localSheetId="0">#REF!</definedName>
    <definedName name="BOLIVAR" localSheetId="1">#REF!</definedName>
    <definedName name="BOLIVAR">#REF!</definedName>
    <definedName name="CAQUETA">#REF!</definedName>
    <definedName name="CARLOS">#REF!</definedName>
    <definedName name="CARNESYDERIVADOS">#REF!</definedName>
    <definedName name="CENTRI">#REF!</definedName>
    <definedName name="CENTRO">#REF!</definedName>
    <definedName name="CENTROS">#REF!</definedName>
    <definedName name="CEREALES_Y_DERIVADOS">#REF!</definedName>
    <definedName name="CHOCO">#REF!</definedName>
    <definedName name="FRUTAS">#REF!</definedName>
    <definedName name="GRASAS">#REF!</definedName>
    <definedName name="GRASASYACEITES">#REF!</definedName>
    <definedName name="GUAINIA">#REF!</definedName>
    <definedName name="GUAJIRA">#REF!</definedName>
    <definedName name="LECHEYDERIVADOS">#REF!</definedName>
    <definedName name="LEGUMINOSASYDERIVADOS">#REF!</definedName>
    <definedName name="MUNICIPIOS">#REF!</definedName>
    <definedName name="NIELCEN">#REF!</definedName>
    <definedName name="NORTESANTANDER">#REF!</definedName>
    <definedName name="NSANTANDER">#REF!</definedName>
    <definedName name="PAPA">#REF!</definedName>
    <definedName name="PEDOL">'[1]ZONA GEOGRAFICA'!#REF!</definedName>
    <definedName name="PESCADOSYMARISCOS" localSheetId="0">#REF!</definedName>
    <definedName name="PESCADOSYMARISCOS" localSheetId="1">#REF!</definedName>
    <definedName name="PESCADOSYMARISCOS" localSheetId="4">#REF!</definedName>
    <definedName name="PESCADOSYMARISCOS">#REF!</definedName>
    <definedName name="PRODUCTOS">[1]PRODUCTOS!$A$3:$A$16</definedName>
    <definedName name="PRODUCTOSAZUCARADOS" localSheetId="0">#REF!</definedName>
    <definedName name="PRODUCTOSAZUCARADOS" localSheetId="1">#REF!</definedName>
    <definedName name="PRODUCTOSAZUCARADOS" localSheetId="4">#REF!</definedName>
    <definedName name="PRODUCTOSAZUCARADOS">#REF!</definedName>
    <definedName name="RIOACHA" localSheetId="0">#REF!</definedName>
    <definedName name="RIOACHA" localSheetId="1">#REF!</definedName>
    <definedName name="RIOACHA" localSheetId="4">#REF!</definedName>
    <definedName name="RIOACHA">#REF!</definedName>
    <definedName name="SAI" localSheetId="0">#REF!</definedName>
    <definedName name="SAI" localSheetId="1">#REF!</definedName>
    <definedName name="SAI" localSheetId="4">#REF!</definedName>
    <definedName name="SAI">#REF!</definedName>
    <definedName name="SANANDRES">#REF!</definedName>
    <definedName name="SANTANDER">#REF!</definedName>
    <definedName name="SEDES">#REF!</definedName>
    <definedName name="TABLA_ALIMENTOS">[2]TCAC!$A$6:$U$522</definedName>
    <definedName name="_xlnm.Print_Titles" localSheetId="9">ANALISIS_NUTRICIONAL!$1:$8</definedName>
    <definedName name="_xlnm.Print_Titles" localSheetId="10">ANALISIS_NUTRICIONAL_IMPORTAR!$1:$8</definedName>
    <definedName name="TUBERCULOS" localSheetId="0">#REF!</definedName>
    <definedName name="TUBERCULOS" localSheetId="1">#REF!</definedName>
    <definedName name="TUBERCULOS" localSheetId="4">#REF!</definedName>
    <definedName name="TUBERCULOS">#REF!</definedName>
    <definedName name="VALLE" localSheetId="0">#REF!</definedName>
    <definedName name="VALLE" localSheetId="1">#REF!</definedName>
    <definedName name="VALLE" localSheetId="4">#REF!</definedName>
    <definedName name="VALLE">#REF!</definedName>
    <definedName name="VAUPES" localSheetId="0">#REF!</definedName>
    <definedName name="VAUPES" localSheetId="1">#REF!</definedName>
    <definedName name="VAUPES" localSheetId="4">#REF!</definedName>
    <definedName name="VAUPES">#REF!</definedName>
    <definedName name="VERDURAS">#REF!</definedName>
    <definedName name="VERDURASYHORTALIZAS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3" i="28" l="1"/>
  <c r="R3" i="28" s="1"/>
  <c r="S3" i="28" s="1"/>
  <c r="T3" i="28" s="1"/>
  <c r="U3" i="28" s="1"/>
  <c r="V3" i="28" s="1"/>
  <c r="W3" i="28" s="1"/>
  <c r="Q11" i="28" s="1"/>
  <c r="R11" i="28" s="1"/>
  <c r="S11" i="28" s="1"/>
  <c r="T11" i="28" s="1"/>
  <c r="U11" i="28" s="1"/>
  <c r="V11" i="28" s="1"/>
  <c r="W11" i="28" s="1"/>
  <c r="Q22" i="28" s="1"/>
  <c r="R22" i="28" s="1"/>
  <c r="S22" i="28" s="1"/>
  <c r="T22" i="28" s="1"/>
  <c r="U22" i="28" s="1"/>
  <c r="V22" i="28" s="1"/>
  <c r="W22" i="28" s="1"/>
  <c r="Q33" i="28" s="1"/>
  <c r="R33" i="28" s="1"/>
  <c r="S33" i="28" s="1"/>
  <c r="T33" i="28" s="1"/>
  <c r="U33" i="28" s="1"/>
  <c r="V33" i="28" s="1"/>
  <c r="W33" i="28" s="1"/>
  <c r="Q44" i="28" s="1"/>
  <c r="R44" i="28" s="1"/>
  <c r="S44" i="28" s="1"/>
  <c r="T44" i="28" s="1"/>
  <c r="U44" i="28" s="1"/>
  <c r="V44" i="28" s="1"/>
  <c r="W44" i="28" s="1"/>
  <c r="D13" i="14"/>
  <c r="W40" i="17"/>
  <c r="W39" i="17"/>
  <c r="W38" i="17"/>
  <c r="W37" i="17"/>
  <c r="W36" i="17"/>
  <c r="W35" i="17"/>
  <c r="W34" i="17"/>
  <c r="W33" i="17"/>
  <c r="W32" i="17"/>
  <c r="W31" i="17"/>
  <c r="W30" i="17"/>
  <c r="W29" i="17"/>
  <c r="W28" i="17"/>
  <c r="W27" i="17"/>
  <c r="W26" i="17"/>
  <c r="W25" i="17"/>
  <c r="W24" i="17"/>
  <c r="W23" i="17"/>
  <c r="W22" i="17"/>
  <c r="W21" i="17"/>
  <c r="W20" i="17"/>
  <c r="W19" i="17"/>
  <c r="W18" i="17"/>
  <c r="W17" i="17"/>
  <c r="W16" i="17"/>
  <c r="W15" i="17"/>
  <c r="W14" i="17"/>
  <c r="W13" i="17"/>
  <c r="W12" i="17"/>
  <c r="W11" i="17"/>
  <c r="W10" i="17"/>
  <c r="W9" i="17"/>
  <c r="W8" i="17"/>
  <c r="W7" i="17"/>
  <c r="W6" i="17"/>
  <c r="W5" i="17"/>
  <c r="W4" i="17"/>
  <c r="W3" i="17"/>
  <c r="W2" i="17"/>
  <c r="D14" i="14" l="1"/>
  <c r="Q3" i="13" s="1"/>
  <c r="R3" i="13" s="1"/>
  <c r="S3" i="13" s="1"/>
  <c r="T3" i="13" s="1"/>
  <c r="U3" i="13" s="1"/>
  <c r="V3" i="13" s="1"/>
  <c r="W3" i="13" s="1"/>
  <c r="Q11" i="13" s="1"/>
  <c r="R11" i="13" s="1"/>
  <c r="S11" i="13" s="1"/>
  <c r="T11" i="13" s="1"/>
  <c r="U11" i="13" s="1"/>
  <c r="V11" i="13" s="1"/>
  <c r="W11" i="13" s="1"/>
  <c r="Q22" i="13" s="1"/>
  <c r="R22" i="13" s="1"/>
  <c r="S22" i="13" s="1"/>
  <c r="T22" i="13" s="1"/>
  <c r="U22" i="13" s="1"/>
  <c r="V22" i="13" s="1"/>
  <c r="W22" i="13" s="1"/>
  <c r="Q33" i="13" s="1"/>
  <c r="R33" i="13" s="1"/>
  <c r="S33" i="13" s="1"/>
  <c r="T33" i="13" s="1"/>
  <c r="U33" i="13" s="1"/>
  <c r="V33" i="13" s="1"/>
  <c r="W33" i="13" s="1"/>
  <c r="Q44" i="13" s="1"/>
  <c r="R44" i="13" s="1"/>
  <c r="S44" i="13" s="1"/>
  <c r="T44" i="13" s="1"/>
  <c r="U44" i="13" s="1"/>
  <c r="V44" i="13" s="1"/>
  <c r="W44" i="13" s="1"/>
  <c r="J507" i="16"/>
  <c r="L502" i="16"/>
  <c r="L504" i="16" s="1"/>
  <c r="K502" i="16"/>
  <c r="K504" i="16" s="1"/>
  <c r="J502" i="16"/>
  <c r="J504" i="16" s="1"/>
  <c r="I502" i="16"/>
  <c r="I504" i="16" s="1"/>
  <c r="H502" i="16"/>
  <c r="H504" i="16" s="1"/>
  <c r="G502" i="16"/>
  <c r="G504" i="16" s="1"/>
  <c r="J482" i="16"/>
  <c r="L476" i="16"/>
  <c r="L478" i="16" s="1"/>
  <c r="K476" i="16"/>
  <c r="K478" i="16" s="1"/>
  <c r="J476" i="16"/>
  <c r="J478" i="16" s="1"/>
  <c r="I476" i="16"/>
  <c r="I478" i="16" s="1"/>
  <c r="H476" i="16"/>
  <c r="H478" i="16" s="1"/>
  <c r="G476" i="16"/>
  <c r="G478" i="16" s="1"/>
  <c r="J457" i="16"/>
  <c r="G454" i="16"/>
  <c r="L452" i="16"/>
  <c r="L454" i="16" s="1"/>
  <c r="K452" i="16"/>
  <c r="K454" i="16" s="1"/>
  <c r="J452" i="16"/>
  <c r="J454" i="16" s="1"/>
  <c r="I452" i="16"/>
  <c r="I454" i="16" s="1"/>
  <c r="H452" i="16"/>
  <c r="H454" i="16" s="1"/>
  <c r="G452" i="16"/>
  <c r="J432" i="16"/>
  <c r="L426" i="16"/>
  <c r="L428" i="16" s="1"/>
  <c r="K426" i="16"/>
  <c r="K428" i="16" s="1"/>
  <c r="J426" i="16"/>
  <c r="J428" i="16" s="1"/>
  <c r="I426" i="16"/>
  <c r="I428" i="16" s="1"/>
  <c r="H426" i="16"/>
  <c r="H428" i="16" s="1"/>
  <c r="G426" i="16"/>
  <c r="G428" i="16" s="1"/>
  <c r="J405" i="16"/>
  <c r="L399" i="16"/>
  <c r="L401" i="16" s="1"/>
  <c r="K399" i="16"/>
  <c r="K401" i="16" s="1"/>
  <c r="J399" i="16"/>
  <c r="J401" i="16" s="1"/>
  <c r="I399" i="16"/>
  <c r="I401" i="16" s="1"/>
  <c r="H399" i="16"/>
  <c r="H401" i="16" s="1"/>
  <c r="G399" i="16"/>
  <c r="G401" i="16" s="1"/>
  <c r="J382" i="16"/>
  <c r="L376" i="16"/>
  <c r="L378" i="16" s="1"/>
  <c r="K376" i="16"/>
  <c r="K378" i="16" s="1"/>
  <c r="J376" i="16"/>
  <c r="J378" i="16" s="1"/>
  <c r="I376" i="16"/>
  <c r="I378" i="16" s="1"/>
  <c r="H376" i="16"/>
  <c r="H378" i="16" s="1"/>
  <c r="G376" i="16"/>
  <c r="G378" i="16" s="1"/>
  <c r="J355" i="16"/>
  <c r="L349" i="16"/>
  <c r="L351" i="16" s="1"/>
  <c r="K349" i="16"/>
  <c r="K351" i="16" s="1"/>
  <c r="J349" i="16"/>
  <c r="J351" i="16" s="1"/>
  <c r="I349" i="16"/>
  <c r="I351" i="16" s="1"/>
  <c r="H349" i="16"/>
  <c r="H351" i="16" s="1"/>
  <c r="G349" i="16"/>
  <c r="G351" i="16" s="1"/>
  <c r="J329" i="16"/>
  <c r="L324" i="16"/>
  <c r="L326" i="16" s="1"/>
  <c r="K324" i="16"/>
  <c r="K326" i="16" s="1"/>
  <c r="J324" i="16"/>
  <c r="J326" i="16" s="1"/>
  <c r="I324" i="16"/>
  <c r="I326" i="16" s="1"/>
  <c r="H324" i="16"/>
  <c r="H326" i="16" s="1"/>
  <c r="G324" i="16"/>
  <c r="G326" i="16" s="1"/>
  <c r="J303" i="16"/>
  <c r="L298" i="16"/>
  <c r="L300" i="16" s="1"/>
  <c r="K298" i="16"/>
  <c r="K300" i="16" s="1"/>
  <c r="J298" i="16"/>
  <c r="J300" i="16" s="1"/>
  <c r="I298" i="16"/>
  <c r="I300" i="16" s="1"/>
  <c r="H298" i="16"/>
  <c r="H300" i="16" s="1"/>
  <c r="G298" i="16"/>
  <c r="G300" i="16" s="1"/>
  <c r="J284" i="16"/>
  <c r="L279" i="16"/>
  <c r="L281" i="16" s="1"/>
  <c r="K279" i="16"/>
  <c r="K281" i="16" s="1"/>
  <c r="J279" i="16"/>
  <c r="J281" i="16" s="1"/>
  <c r="I279" i="16"/>
  <c r="I281" i="16" s="1"/>
  <c r="H279" i="16"/>
  <c r="H281" i="16" s="1"/>
  <c r="G279" i="16"/>
  <c r="G281" i="16" s="1"/>
  <c r="J255" i="16"/>
  <c r="L250" i="16"/>
  <c r="L252" i="16" s="1"/>
  <c r="K250" i="16"/>
  <c r="K252" i="16" s="1"/>
  <c r="J250" i="16"/>
  <c r="J252" i="16" s="1"/>
  <c r="I250" i="16"/>
  <c r="I252" i="16" s="1"/>
  <c r="H250" i="16"/>
  <c r="H252" i="16" s="1"/>
  <c r="G250" i="16"/>
  <c r="G252" i="16" s="1"/>
  <c r="J227" i="16"/>
  <c r="L222" i="16"/>
  <c r="L224" i="16" s="1"/>
  <c r="K222" i="16"/>
  <c r="K224" i="16" s="1"/>
  <c r="J222" i="16"/>
  <c r="J224" i="16" s="1"/>
  <c r="I222" i="16"/>
  <c r="I224" i="16" s="1"/>
  <c r="H222" i="16"/>
  <c r="H224" i="16" s="1"/>
  <c r="G222" i="16"/>
  <c r="G224" i="16" s="1"/>
  <c r="J204" i="16"/>
  <c r="L199" i="16"/>
  <c r="L201" i="16" s="1"/>
  <c r="K199" i="16"/>
  <c r="K201" i="16" s="1"/>
  <c r="J199" i="16"/>
  <c r="J201" i="16" s="1"/>
  <c r="I199" i="16"/>
  <c r="I201" i="16" s="1"/>
  <c r="H199" i="16"/>
  <c r="H201" i="16" s="1"/>
  <c r="G199" i="16"/>
  <c r="G201" i="16" s="1"/>
  <c r="J176" i="16"/>
  <c r="L171" i="16"/>
  <c r="L173" i="16" s="1"/>
  <c r="K171" i="16"/>
  <c r="K173" i="16" s="1"/>
  <c r="J171" i="16"/>
  <c r="J173" i="16" s="1"/>
  <c r="I171" i="16"/>
  <c r="I173" i="16" s="1"/>
  <c r="H171" i="16"/>
  <c r="H173" i="16" s="1"/>
  <c r="G171" i="16"/>
  <c r="G173" i="16" s="1"/>
  <c r="J150" i="16"/>
  <c r="L145" i="16"/>
  <c r="L147" i="16" s="1"/>
  <c r="K145" i="16"/>
  <c r="K147" i="16" s="1"/>
  <c r="J145" i="16"/>
  <c r="J147" i="16" s="1"/>
  <c r="I145" i="16"/>
  <c r="I147" i="16" s="1"/>
  <c r="H145" i="16"/>
  <c r="H147" i="16" s="1"/>
  <c r="G145" i="16"/>
  <c r="G147" i="16" s="1"/>
  <c r="J131" i="16"/>
  <c r="L126" i="16"/>
  <c r="L128" i="16" s="1"/>
  <c r="K126" i="16"/>
  <c r="K128" i="16" s="1"/>
  <c r="J126" i="16"/>
  <c r="J128" i="16" s="1"/>
  <c r="I126" i="16"/>
  <c r="I128" i="16" s="1"/>
  <c r="H126" i="16"/>
  <c r="H128" i="16" s="1"/>
  <c r="G126" i="16"/>
  <c r="G128" i="16" s="1"/>
  <c r="J108" i="16"/>
  <c r="L103" i="16"/>
  <c r="L105" i="16" s="1"/>
  <c r="K103" i="16"/>
  <c r="K105" i="16" s="1"/>
  <c r="J103" i="16"/>
  <c r="J105" i="16" s="1"/>
  <c r="I103" i="16"/>
  <c r="I105" i="16" s="1"/>
  <c r="H103" i="16"/>
  <c r="H105" i="16" s="1"/>
  <c r="G103" i="16"/>
  <c r="G105" i="16" s="1"/>
  <c r="J80" i="16"/>
  <c r="L75" i="16"/>
  <c r="L77" i="16" s="1"/>
  <c r="K75" i="16"/>
  <c r="K77" i="16" s="1"/>
  <c r="J75" i="16"/>
  <c r="J77" i="16" s="1"/>
  <c r="I75" i="16"/>
  <c r="I77" i="16" s="1"/>
  <c r="H75" i="16"/>
  <c r="H77" i="16" s="1"/>
  <c r="G75" i="16"/>
  <c r="G77" i="16" s="1"/>
  <c r="J55" i="16"/>
  <c r="L50" i="16"/>
  <c r="L52" i="16" s="1"/>
  <c r="K50" i="16"/>
  <c r="K52" i="16" s="1"/>
  <c r="J50" i="16"/>
  <c r="J52" i="16" s="1"/>
  <c r="I50" i="16"/>
  <c r="I52" i="16" s="1"/>
  <c r="H50" i="16"/>
  <c r="H52" i="16" s="1"/>
  <c r="G50" i="16"/>
  <c r="G52" i="16" s="1"/>
  <c r="L25" i="16"/>
  <c r="L27" i="16" s="1"/>
  <c r="K25" i="16"/>
  <c r="K27" i="16" s="1"/>
  <c r="J25" i="16"/>
  <c r="J27" i="16" s="1"/>
  <c r="I25" i="16"/>
  <c r="I27" i="16" s="1"/>
  <c r="H25" i="16"/>
  <c r="H27" i="16" s="1"/>
  <c r="G25" i="16"/>
  <c r="G27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EKIRAJIA_PC</author>
  </authors>
  <commentList>
    <comment ref="B26" authorId="0" shapeId="0" xr:uid="{6BA9B9A1-24AA-4D9C-AD7E-0E992F8923E2}">
      <text>
        <r>
          <rPr>
            <b/>
            <sz val="9"/>
            <color indexed="81"/>
            <rFont val="Tahoma"/>
            <family val="2"/>
          </rPr>
          <t>EKIRAJIA_PC:</t>
        </r>
        <r>
          <rPr>
            <sz val="9"/>
            <color indexed="81"/>
            <rFont val="Tahoma"/>
            <family val="2"/>
          </rPr>
          <t xml:space="preserve">
60gr</t>
        </r>
      </text>
    </comment>
    <comment ref="V26" authorId="0" shapeId="0" xr:uid="{7D8C1449-DC34-4872-BDF9-3269C28547D8}">
      <text>
        <r>
          <rPr>
            <b/>
            <sz val="9"/>
            <color indexed="81"/>
            <rFont val="Tahoma"/>
            <family val="2"/>
          </rPr>
          <t>EKIRAJIA_PC:</t>
        </r>
        <r>
          <rPr>
            <sz val="9"/>
            <color indexed="81"/>
            <rFont val="Tahoma"/>
            <family val="2"/>
          </rPr>
          <t xml:space="preserve">
60gr</t>
        </r>
      </text>
    </comment>
    <comment ref="A33" authorId="0" shapeId="0" xr:uid="{F77825DC-5EB4-4A01-A871-2F041784CA39}">
      <text>
        <r>
          <rPr>
            <b/>
            <sz val="9"/>
            <color indexed="81"/>
            <rFont val="Tahoma"/>
            <family val="2"/>
          </rPr>
          <t>EKIRAJIA_PC:</t>
        </r>
        <r>
          <rPr>
            <sz val="9"/>
            <color indexed="81"/>
            <rFont val="Tahoma"/>
            <family val="2"/>
          </rPr>
          <t xml:space="preserve">
35gr</t>
        </r>
      </text>
    </comment>
    <comment ref="H33" authorId="0" shapeId="0" xr:uid="{F097A5CA-0603-4167-8E1F-A43252AF2F32}">
      <text>
        <r>
          <rPr>
            <b/>
            <sz val="9"/>
            <color indexed="81"/>
            <rFont val="Tahoma"/>
            <family val="2"/>
          </rPr>
          <t>EKIRAJIA_PC:</t>
        </r>
        <r>
          <rPr>
            <sz val="9"/>
            <color indexed="81"/>
            <rFont val="Tahoma"/>
            <family val="2"/>
          </rPr>
          <t xml:space="preserve">
35gr</t>
        </r>
      </text>
    </comment>
  </commentList>
</comments>
</file>

<file path=xl/sharedStrings.xml><?xml version="1.0" encoding="utf-8"?>
<sst xmlns="http://schemas.openxmlformats.org/spreadsheetml/2006/main" count="2020" uniqueCount="320">
  <si>
    <t>DOMINGO</t>
  </si>
  <si>
    <t>LUNES</t>
  </si>
  <si>
    <t>MARTES</t>
  </si>
  <si>
    <t>MIERCOLES</t>
  </si>
  <si>
    <t>JUEVES</t>
  </si>
  <si>
    <t>VIERNES</t>
  </si>
  <si>
    <t>SABADO</t>
  </si>
  <si>
    <t>INTERNADO</t>
  </si>
  <si>
    <t>ANOUI</t>
  </si>
  <si>
    <t>SHIRUIA</t>
  </si>
  <si>
    <t>LA PAZ</t>
  </si>
  <si>
    <t>UTPURAI</t>
  </si>
  <si>
    <t>MAYAPOA A</t>
  </si>
  <si>
    <t>REGULAR</t>
  </si>
  <si>
    <t>PAJARO</t>
  </si>
  <si>
    <t>FEBRERO</t>
  </si>
  <si>
    <t>FESTIVO</t>
  </si>
  <si>
    <t>MARZO</t>
  </si>
  <si>
    <t>ALMUERZO</t>
  </si>
  <si>
    <t>CALENDARIO</t>
  </si>
  <si>
    <t>ENERO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</si>
  <si>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</si>
  <si>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</si>
  <si>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</si>
  <si>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</si>
  <si>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</si>
  <si>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</si>
  <si>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</si>
  <si>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</si>
  <si>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ID</t>
  </si>
  <si>
    <t>MODULO</t>
  </si>
  <si>
    <t>FUNCIONALIDAD</t>
  </si>
  <si>
    <t>VALOR</t>
  </si>
  <si>
    <t>ACTIVO</t>
  </si>
  <si>
    <t>MES</t>
  </si>
  <si>
    <t>ANÁLISIS NUTRICIONAL</t>
  </si>
  <si>
    <t>COMPLEMENTO ALIMENTARIO JORNADA MAÑANA - COMPLEMENTO ALIMENTARIO JORNADA TARDE</t>
  </si>
  <si>
    <t>GRUPO DE EDAD</t>
  </si>
  <si>
    <t xml:space="preserve">9 A 13 AÑOS 11 MESES </t>
  </si>
  <si>
    <t>OPERADOR</t>
  </si>
  <si>
    <t>EKIRRAJIA PAIP 2022</t>
  </si>
  <si>
    <t>DEPARTAMENTO</t>
  </si>
  <si>
    <t xml:space="preserve"> LA GUAJIRA </t>
  </si>
  <si>
    <t>MUNICIPIO</t>
  </si>
  <si>
    <t>MANAURE</t>
  </si>
  <si>
    <t>GRUPO ÉTNICO</t>
  </si>
  <si>
    <t>INDÍGENA</t>
  </si>
  <si>
    <t>X</t>
  </si>
  <si>
    <t>COMUNIDAD / PUEBLO INDÍGENA</t>
  </si>
  <si>
    <t>WAYUU</t>
  </si>
  <si>
    <t>AFROCOLOMBIANO / PALENQUEROS</t>
  </si>
  <si>
    <t>RAIZAL</t>
  </si>
  <si>
    <t>ROM</t>
  </si>
  <si>
    <t>SIN PERTENENCIA ÉTNICA</t>
  </si>
  <si>
    <t>MENÚ No. 1</t>
  </si>
  <si>
    <t>COMPONENTE</t>
  </si>
  <si>
    <t xml:space="preserve">PREPARACIÓN </t>
  </si>
  <si>
    <t>NOMBRE DEL ALIMENTO 
(Ingredientes)</t>
  </si>
  <si>
    <t>CÓDIGO</t>
  </si>
  <si>
    <t>PESO BRUTO       (g)</t>
  </si>
  <si>
    <t>PESO NETO
 (g)</t>
  </si>
  <si>
    <t>CALORIAS Y NUTRIENTES</t>
  </si>
  <si>
    <t>CALORÍAS
(Kcal)</t>
  </si>
  <si>
    <t>PROTEÍNA
 (g)</t>
  </si>
  <si>
    <t>GRASA     
  (g)</t>
  </si>
  <si>
    <t>CHO 
(g)</t>
  </si>
  <si>
    <t>CALCIO
 (mg)</t>
  </si>
  <si>
    <t>HIERRO
 (mg)</t>
  </si>
  <si>
    <t>BEBIDA</t>
  </si>
  <si>
    <t>YAJAUSHI</t>
  </si>
  <si>
    <t>Leche de vaca, entera, en polvo</t>
  </si>
  <si>
    <t>G008</t>
  </si>
  <si>
    <t>Maíz amarillo, trillado</t>
  </si>
  <si>
    <t>A044</t>
  </si>
  <si>
    <t>Azucar blanco, granulado</t>
  </si>
  <si>
    <t>K003</t>
  </si>
  <si>
    <t>ALIMENTO PROTEÍCO</t>
  </si>
  <si>
    <t xml:space="preserve">HUEVO CON VERDURAS </t>
  </si>
  <si>
    <t>Huevo de gallina, entero, crudo</t>
  </si>
  <si>
    <t>J004</t>
  </si>
  <si>
    <t>Cebolla cabezona, cruda</t>
  </si>
  <si>
    <t>B027</t>
  </si>
  <si>
    <t>Tomate, crudo</t>
  </si>
  <si>
    <t>B103</t>
  </si>
  <si>
    <t>Ajo, crudo</t>
  </si>
  <si>
    <t>B009</t>
  </si>
  <si>
    <t>Sal</t>
  </si>
  <si>
    <t>L015</t>
  </si>
  <si>
    <t>Aceite de maíz</t>
  </si>
  <si>
    <t>D006</t>
  </si>
  <si>
    <t>CEREAL ACOMPAÑANTE</t>
  </si>
  <si>
    <t xml:space="preserve">PAN </t>
  </si>
  <si>
    <t>Pan blanco, regular, horneado</t>
  </si>
  <si>
    <t>A060</t>
  </si>
  <si>
    <t>FRUTAS/CEREALES Y DERIVADOS</t>
  </si>
  <si>
    <t>BANANO</t>
  </si>
  <si>
    <t>Banano común, crudo</t>
  </si>
  <si>
    <t>C010</t>
  </si>
  <si>
    <t>TOTAL MENÚ</t>
  </si>
  <si>
    <t>RECOMENDACIÓN</t>
  </si>
  <si>
    <t>% ADECUACIÓN</t>
  </si>
  <si>
    <t>NOMBRE NUTRICIONISTA - DIETISTA QUE ELABORA EL ANÁLISIS</t>
  </si>
  <si>
    <t xml:space="preserve">MARIA DE LOS ANGELES TORO ARCINIEGAS </t>
  </si>
  <si>
    <t>FIRMA</t>
  </si>
  <si>
    <t>MATRÍCULA PROFESIONAL</t>
  </si>
  <si>
    <t>MND 1192925014</t>
  </si>
  <si>
    <t>MENÚ No. 2</t>
  </si>
  <si>
    <t xml:space="preserve">BEBIDA </t>
  </si>
  <si>
    <t xml:space="preserve">COLADA DE HARINA DE ARROZ </t>
  </si>
  <si>
    <t>Harina de arroz, cruda</t>
  </si>
  <si>
    <t>A028</t>
  </si>
  <si>
    <t>CARNE GUISADA</t>
  </si>
  <si>
    <t>Res, carne magra, cruda</t>
  </si>
  <si>
    <t>F099</t>
  </si>
  <si>
    <t>Cebolla junca, tallos, cruda</t>
  </si>
  <si>
    <t>B029</t>
  </si>
  <si>
    <t>Pimentón rojo, crudo</t>
  </si>
  <si>
    <t>B080</t>
  </si>
  <si>
    <t>BOLLO DE HARINA DE MAIZ</t>
  </si>
  <si>
    <t>Harina de maíz blanco, precocida</t>
  </si>
  <si>
    <t>A034</t>
  </si>
  <si>
    <t>MENÚ No. 3</t>
  </si>
  <si>
    <t xml:space="preserve">COLADA DE AVENA </t>
  </si>
  <si>
    <t>Avena en hojuelas, precocida</t>
  </si>
  <si>
    <t>A012</t>
  </si>
  <si>
    <t>SALPICON DE PESCADO</t>
  </si>
  <si>
    <t>Tiburón, filete,crudo</t>
  </si>
  <si>
    <t>E042</t>
  </si>
  <si>
    <t>Achiote,seco</t>
  </si>
  <si>
    <t>L001</t>
  </si>
  <si>
    <t>GUINEO VERDE COCIDO</t>
  </si>
  <si>
    <t>Plátano colí o guíneo, verde, crudo</t>
  </si>
  <si>
    <t>B084</t>
  </si>
  <si>
    <t>MENÚ No. 4</t>
  </si>
  <si>
    <t>AGUA DE PANELA CON LIMON</t>
  </si>
  <si>
    <t>Limón, crudo</t>
  </si>
  <si>
    <t>C044</t>
  </si>
  <si>
    <t>panela</t>
  </si>
  <si>
    <t>K033</t>
  </si>
  <si>
    <t>LENTEJAS GUISADAS</t>
  </si>
  <si>
    <t>Lenteja comun, cruda</t>
  </si>
  <si>
    <t>T026</t>
  </si>
  <si>
    <t>Zanahoria, sin cáscara, cruda</t>
  </si>
  <si>
    <t>B110</t>
  </si>
  <si>
    <t>ARROZ BLANCO</t>
  </si>
  <si>
    <t>Arroz blanco, pulido, crudo</t>
  </si>
  <si>
    <t>A010</t>
  </si>
  <si>
    <t>TAJADAS DE PLATANO FRITO</t>
  </si>
  <si>
    <t>Plátano hartón, verde, crudo</t>
  </si>
  <si>
    <t>B092</t>
  </si>
  <si>
    <t>MENÚ No. 5</t>
  </si>
  <si>
    <t>REFRESCO DE AVENA</t>
  </si>
  <si>
    <t>Harina de avena, cruda</t>
  </si>
  <si>
    <t>A029</t>
  </si>
  <si>
    <t>QUESO RALLADO</t>
  </si>
  <si>
    <t>Queso fresco, semiduro, semigraso, tipo costeño</t>
  </si>
  <si>
    <t>G018</t>
  </si>
  <si>
    <t>PASTAS GUISADAS</t>
  </si>
  <si>
    <t>Pasta alimenticia, enriquecida, cruda</t>
  </si>
  <si>
    <t>A072</t>
  </si>
  <si>
    <t xml:space="preserve">GALLETA </t>
  </si>
  <si>
    <t>Galletas saladas, tipo craker</t>
  </si>
  <si>
    <t>A026</t>
  </si>
  <si>
    <t>MENÚ No. 6</t>
  </si>
  <si>
    <t xml:space="preserve">COLADA DE HARINA 7 GRANOS </t>
  </si>
  <si>
    <t>Cebada, perlada, cruda</t>
  </si>
  <si>
    <t>A014</t>
  </si>
  <si>
    <t>AREPA ASADA</t>
  </si>
  <si>
    <t>Mantequilla</t>
  </si>
  <si>
    <t>D015</t>
  </si>
  <si>
    <t>NARANJA</t>
  </si>
  <si>
    <t>Naranja, cruda</t>
  </si>
  <si>
    <t>C062</t>
  </si>
  <si>
    <t>MENÚ No. 7</t>
  </si>
  <si>
    <t>COLADA DE HARINA DE ARROZ</t>
  </si>
  <si>
    <t xml:space="preserve">SALPICON DE PESCADO </t>
  </si>
  <si>
    <t>MARIA DE LOS ANGELES TORO ARCINIEGAS</t>
  </si>
  <si>
    <t>MENÚ No. 8</t>
  </si>
  <si>
    <t>CHICHA DE MAIZ</t>
  </si>
  <si>
    <t>Maíz blanco, crudo</t>
  </si>
  <si>
    <t>A045</t>
  </si>
  <si>
    <t>FRIJOL GUISADO</t>
  </si>
  <si>
    <t>Frijol cargamento rojo, crudo</t>
  </si>
  <si>
    <t>T011</t>
  </si>
  <si>
    <t xml:space="preserve">TAJADAS GUINEO VERDE </t>
  </si>
  <si>
    <t>MENÚ No. 9</t>
  </si>
  <si>
    <t>HUEVO CON VERDURAS</t>
  </si>
  <si>
    <t>BOLLO DE HARINA DE MAÍZ</t>
  </si>
  <si>
    <t>GALLETA</t>
  </si>
  <si>
    <t>MENÚ No. 10</t>
  </si>
  <si>
    <t xml:space="preserve">ALIMENTO PROTEICO </t>
  </si>
  <si>
    <t>CHIVO GUISADO</t>
  </si>
  <si>
    <t>Cabra o chivo, carne, cruda</t>
  </si>
  <si>
    <t xml:space="preserve">F005 </t>
  </si>
  <si>
    <t xml:space="preserve">ARROZ DE FIDEO </t>
  </si>
  <si>
    <t>Pasta alimenticia, sin enriquecer, cruda</t>
  </si>
  <si>
    <t>A074</t>
  </si>
  <si>
    <t>MENÚ No. 11</t>
  </si>
  <si>
    <t>CHICHA DE MAÍZ</t>
  </si>
  <si>
    <t xml:space="preserve">SOPA DE LENTEJAS CON PAPA </t>
  </si>
  <si>
    <t>Papa, variedad cerosa, sabanera, con cáscara, cruda</t>
  </si>
  <si>
    <t>B065</t>
  </si>
  <si>
    <t>ARROZ DE ZANAHORIA</t>
  </si>
  <si>
    <t>MENÚ No. 12</t>
  </si>
  <si>
    <t>TAJADA DE QUESO</t>
  </si>
  <si>
    <t xml:space="preserve">PLATANO COCIDO </t>
  </si>
  <si>
    <t>MANDARINA</t>
  </si>
  <si>
    <t>Mandarina, cruda</t>
  </si>
  <si>
    <t>C050</t>
  </si>
  <si>
    <t>MENÚ No. 13</t>
  </si>
  <si>
    <t xml:space="preserve">CARNE EN BISTECK </t>
  </si>
  <si>
    <t xml:space="preserve">ARROZ BLANCO </t>
  </si>
  <si>
    <t>MENÚ No. 14</t>
  </si>
  <si>
    <t xml:space="preserve">BEBIDA ACHOCOLATADA </t>
  </si>
  <si>
    <t xml:space="preserve">Chocolate, en pastilla con azucar </t>
  </si>
  <si>
    <t>K010</t>
  </si>
  <si>
    <t xml:space="preserve">AREPUELA </t>
  </si>
  <si>
    <t>MENÚ No. 15</t>
  </si>
  <si>
    <t xml:space="preserve">ATÚN GUISADO </t>
  </si>
  <si>
    <t>Atún, enlatado con aceite</t>
  </si>
  <si>
    <t>E003</t>
  </si>
  <si>
    <t>MENÚ No. 16</t>
  </si>
  <si>
    <t xml:space="preserve">HUEVOS CON VERDURAS </t>
  </si>
  <si>
    <t>MENÚ No. 17</t>
  </si>
  <si>
    <t>COLADA DE 7 GRANOS</t>
  </si>
  <si>
    <t>ALIMENTO PROTEICO</t>
  </si>
  <si>
    <t>CHIVO  GUISADO</t>
  </si>
  <si>
    <t>F005</t>
  </si>
  <si>
    <t xml:space="preserve">AREPA FRITA </t>
  </si>
  <si>
    <t>MENÚ No. 18</t>
  </si>
  <si>
    <t xml:space="preserve">FRIJOL ROJO GUISADO </t>
  </si>
  <si>
    <t>MENÚ No. 19</t>
  </si>
  <si>
    <t xml:space="preserve">PETO CON LECHE </t>
  </si>
  <si>
    <t xml:space="preserve">BOLLO DE HARINA DE MAÍZ </t>
  </si>
  <si>
    <t>MENÚ No. 20</t>
  </si>
  <si>
    <t>PRODUCTO</t>
  </si>
  <si>
    <t>TOTAL</t>
  </si>
  <si>
    <t>UNIDAD</t>
  </si>
  <si>
    <t>Atùn enlatado en aceite</t>
  </si>
  <si>
    <t>Frijol cabecita negra, crudo</t>
  </si>
  <si>
    <t>Galletas dulces, sin relleno</t>
  </si>
  <si>
    <t>Harina de plátano, cruda</t>
  </si>
  <si>
    <t>Harina de trigo, fortificada, todo proposito, cruda</t>
  </si>
  <si>
    <t>Ponqué blanco, regular, sin cubierta, horneado (pudin)</t>
  </si>
  <si>
    <t>Sardinas, enlatadas en salsa de tomate</t>
  </si>
  <si>
    <t>GRUPO DE EDAD*</t>
  </si>
  <si>
    <t>DEPARTAMENTO*</t>
  </si>
  <si>
    <t>OPERADOR*</t>
  </si>
  <si>
    <t>MUNICIPIO*</t>
  </si>
  <si>
    <t>PrimerDiaMes</t>
  </si>
  <si>
    <t>DiaSemanaPrimerDiaMes</t>
  </si>
  <si>
    <t>EXTERNADO</t>
  </si>
  <si>
    <t>FORMATO APROBACION DE PEDIDO
EKIRAJIA PAIP 2022</t>
  </si>
  <si>
    <t>Nº</t>
  </si>
  <si>
    <t>ELABORADO POR</t>
  </si>
  <si>
    <t>TIPO DE PEDIDO</t>
  </si>
  <si>
    <t>FECHA DE ELABORACION</t>
  </si>
  <si>
    <t>CARLOS JOSE PIEYU DE LA PEÑA</t>
  </si>
  <si>
    <t>VERDURA</t>
  </si>
  <si>
    <t>GENERAL</t>
  </si>
  <si>
    <t>PROYECCION</t>
  </si>
  <si>
    <t>DD/MM/YYYY</t>
  </si>
  <si>
    <t>MINUTA</t>
  </si>
  <si>
    <t>ALIMENTOS</t>
  </si>
  <si>
    <t>INSTITUCION - SEDE</t>
  </si>
  <si>
    <t>DESDE</t>
  </si>
  <si>
    <t>OMISION</t>
  </si>
  <si>
    <t>HASTA</t>
  </si>
  <si>
    <t>TOTAL DIAS</t>
  </si>
  <si>
    <t>OBSERVACION</t>
  </si>
  <si>
    <t>IN</t>
  </si>
  <si>
    <t>EX</t>
  </si>
  <si>
    <t>AL</t>
  </si>
  <si>
    <t>RE</t>
  </si>
  <si>
    <t>VI</t>
  </si>
  <si>
    <t>VE</t>
  </si>
  <si>
    <t>PA</t>
  </si>
  <si>
    <t>LA</t>
  </si>
  <si>
    <t>PR</t>
  </si>
  <si>
    <t>DIA  |  MENU</t>
  </si>
  <si>
    <t>FIRMA DE QUIEN AUTORIZA</t>
  </si>
  <si>
    <t>FECHA AUTORIZACION</t>
  </si>
  <si>
    <t>version 1.0</t>
  </si>
  <si>
    <t>INTERNOS</t>
  </si>
  <si>
    <t>VIVERES</t>
  </si>
  <si>
    <t>EXTERNOS</t>
  </si>
  <si>
    <t>VERDURAS</t>
  </si>
  <si>
    <t>PANES</t>
  </si>
  <si>
    <t>LACTEOS</t>
  </si>
  <si>
    <t>PROTEINAS</t>
  </si>
  <si>
    <t>PEDIDO</t>
  </si>
  <si>
    <t>ENTREGA</t>
  </si>
  <si>
    <t>INSTITUCION</t>
  </si>
  <si>
    <t>SEDE</t>
  </si>
  <si>
    <t>GRUPO</t>
  </si>
  <si>
    <t>PROTEINA</t>
  </si>
  <si>
    <t>Dia Numero</t>
  </si>
  <si>
    <t>Dia nombre</t>
  </si>
  <si>
    <t>Menu</t>
  </si>
  <si>
    <t>COMPLEMENTO</t>
  </si>
  <si>
    <t>CENTRO ETNOEDUCATIVO ANOUI</t>
  </si>
  <si>
    <t>TODAS</t>
  </si>
  <si>
    <t>M</t>
  </si>
  <si>
    <t>Q</t>
  </si>
  <si>
    <t>INICIO QUINCENA</t>
  </si>
  <si>
    <t>KALIYUSEN 2</t>
  </si>
  <si>
    <t>S</t>
  </si>
  <si>
    <t>FIN QUINCENA</t>
  </si>
  <si>
    <t>PRINCIPAL</t>
  </si>
  <si>
    <t>MOTI</t>
  </si>
  <si>
    <t>WIMPIRAREN</t>
  </si>
  <si>
    <t>KALATA</t>
  </si>
  <si>
    <t>LAACHON INTERNOS</t>
  </si>
  <si>
    <t>LAACHON EXTERNOS</t>
  </si>
  <si>
    <t>LAACHON LAACHITO</t>
  </si>
  <si>
    <t>DICIEMBRE</t>
  </si>
  <si>
    <t>D</t>
  </si>
  <si>
    <t>L</t>
  </si>
  <si>
    <t>J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</si>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</sst>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64" formatCode="_-* #,##0.0_-;\-* #,##0.0_-;_-* &quot;-&quot;_-;_-@_-"/>
    <numFmt numFmtId="165" formatCode="#,##0.000"/>
    <numFmt numFmtId="166" formatCode="0.0"/>
    <numFmt numFmtId="167" formatCode="dd"/>
  </numFmts>
  <fonts count="5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</font>
    <font>
      <b/>
      <sz val="11"/>
      <color theme="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sz val="8"/>
      <color theme="1"/>
      <name val="Arial"/>
      <family val="2"/>
    </font>
    <font>
      <b/>
      <sz val="12"/>
      <color theme="1"/>
      <name val="Arial Narrow"/>
      <family val="2"/>
    </font>
    <font>
      <sz val="10"/>
      <name val="Zurich BT"/>
    </font>
    <font>
      <sz val="1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12"/>
      <name val="Arial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0000"/>
      <name val="Arial"/>
      <family val="2"/>
    </font>
    <font>
      <b/>
      <sz val="22"/>
      <name val="Arial"/>
      <family val="2"/>
    </font>
    <font>
      <b/>
      <sz val="12"/>
      <color rgb="FFFF0000"/>
      <name val="Arial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sz val="5"/>
      <name val="Calibri"/>
      <family val="2"/>
      <scheme val="minor"/>
    </font>
    <font>
      <b/>
      <sz val="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9"/>
      <color theme="1" tint="0.34998626667073579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1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5" fillId="0" borderId="0"/>
    <xf numFmtId="0" fontId="13" fillId="0" borderId="0"/>
    <xf numFmtId="0" fontId="26" fillId="0" borderId="0"/>
  </cellStyleXfs>
  <cellXfs count="339">
    <xf numFmtId="0" fontId="0" fillId="0" borderId="0" xfId="0"/>
    <xf numFmtId="0" fontId="0" fillId="0" borderId="0" xfId="0" applyFill="1"/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6" fillId="0" borderId="0" xfId="0" applyFont="1" applyFill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left" vertical="center"/>
    </xf>
    <xf numFmtId="0" fontId="1" fillId="0" borderId="0" xfId="0" applyFont="1" applyFill="1" applyAlignment="1">
      <alignment horizontal="center" vertical="center"/>
    </xf>
    <xf numFmtId="0" fontId="2" fillId="0" borderId="8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vertical="center"/>
    </xf>
    <xf numFmtId="0" fontId="12" fillId="0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5" fillId="0" borderId="0" xfId="3"/>
    <xf numFmtId="0" fontId="21" fillId="9" borderId="12" xfId="4" applyFont="1" applyFill="1" applyBorder="1" applyAlignment="1">
      <alignment horizontal="left" vertical="center" wrapText="1"/>
    </xf>
    <xf numFmtId="0" fontId="21" fillId="0" borderId="12" xfId="4" applyFont="1" applyBorder="1" applyAlignment="1" applyProtection="1">
      <alignment horizontal="center" vertical="center" wrapText="1"/>
      <protection locked="0"/>
    </xf>
    <xf numFmtId="0" fontId="21" fillId="0" borderId="12" xfId="4" applyFont="1" applyBorder="1" applyAlignment="1" applyProtection="1">
      <alignment horizontal="left" vertical="center" wrapText="1"/>
      <protection locked="0"/>
    </xf>
    <xf numFmtId="0" fontId="17" fillId="11" borderId="24" xfId="4" applyFont="1" applyFill="1" applyBorder="1" applyAlignment="1">
      <alignment vertical="center" wrapText="1"/>
    </xf>
    <xf numFmtId="0" fontId="17" fillId="11" borderId="21" xfId="4" applyFont="1" applyFill="1" applyBorder="1" applyAlignment="1">
      <alignment horizontal="center" vertical="center" wrapText="1"/>
    </xf>
    <xf numFmtId="0" fontId="17" fillId="11" borderId="21" xfId="4" applyFont="1" applyFill="1" applyBorder="1" applyAlignment="1">
      <alignment horizontal="left" vertical="center" wrapText="1"/>
    </xf>
    <xf numFmtId="1" fontId="17" fillId="11" borderId="21" xfId="4" applyNumberFormat="1" applyFont="1" applyFill="1" applyBorder="1" applyAlignment="1">
      <alignment horizontal="center" vertical="center" wrapText="1"/>
    </xf>
    <xf numFmtId="0" fontId="17" fillId="11" borderId="20" xfId="4" applyFont="1" applyFill="1" applyBorder="1" applyAlignment="1">
      <alignment horizontal="center" vertical="center" wrapText="1"/>
    </xf>
    <xf numFmtId="0" fontId="17" fillId="11" borderId="19" xfId="4" applyFont="1" applyFill="1" applyBorder="1" applyAlignment="1">
      <alignment horizontal="center" vertical="center" wrapText="1"/>
    </xf>
    <xf numFmtId="0" fontId="24" fillId="9" borderId="13" xfId="4" applyFont="1" applyFill="1" applyBorder="1" applyAlignment="1">
      <alignment horizontal="center" vertical="center" wrapText="1"/>
    </xf>
    <xf numFmtId="0" fontId="27" fillId="12" borderId="12" xfId="5" applyFont="1" applyFill="1" applyBorder="1"/>
    <xf numFmtId="0" fontId="28" fillId="0" borderId="12" xfId="0" applyFont="1" applyBorder="1" applyAlignment="1" applyProtection="1">
      <alignment horizontal="center" vertical="center" wrapText="1"/>
      <protection locked="0"/>
    </xf>
    <xf numFmtId="1" fontId="29" fillId="0" borderId="12" xfId="4" applyNumberFormat="1" applyFont="1" applyBorder="1" applyAlignment="1" applyProtection="1">
      <alignment horizontal="center"/>
      <protection locked="0"/>
    </xf>
    <xf numFmtId="164" fontId="27" fillId="12" borderId="12" xfId="1" applyNumberFormat="1" applyFont="1" applyFill="1" applyBorder="1" applyAlignment="1">
      <alignment horizontal="center"/>
    </xf>
    <xf numFmtId="165" fontId="27" fillId="12" borderId="12" xfId="5" applyNumberFormat="1" applyFont="1" applyFill="1" applyBorder="1" applyAlignment="1">
      <alignment horizontal="center"/>
    </xf>
    <xf numFmtId="4" fontId="27" fillId="12" borderId="12" xfId="5" applyNumberFormat="1" applyFont="1" applyFill="1" applyBorder="1" applyAlignment="1">
      <alignment horizontal="center"/>
    </xf>
    <xf numFmtId="0" fontId="0" fillId="0" borderId="12" xfId="0" applyBorder="1" applyAlignment="1" applyProtection="1">
      <alignment horizontal="center" vertical="center" wrapText="1"/>
      <protection locked="0"/>
    </xf>
    <xf numFmtId="1" fontId="13" fillId="0" borderId="12" xfId="4" applyNumberFormat="1" applyBorder="1" applyAlignment="1" applyProtection="1">
      <alignment horizontal="center" vertical="center"/>
      <protection locked="0"/>
    </xf>
    <xf numFmtId="166" fontId="13" fillId="0" borderId="12" xfId="4" applyNumberFormat="1" applyBorder="1" applyAlignment="1" applyProtection="1">
      <alignment horizontal="center" vertical="center"/>
      <protection locked="0"/>
    </xf>
    <xf numFmtId="0" fontId="25" fillId="9" borderId="12" xfId="0" applyFont="1" applyFill="1" applyBorder="1" applyAlignment="1">
      <alignment vertical="center" wrapText="1"/>
    </xf>
    <xf numFmtId="0" fontId="23" fillId="9" borderId="12" xfId="5" applyFont="1" applyFill="1" applyBorder="1" applyAlignment="1">
      <alignment vertical="center"/>
    </xf>
    <xf numFmtId="0" fontId="23" fillId="9" borderId="12" xfId="3" applyFont="1" applyFill="1" applyBorder="1" applyAlignment="1">
      <alignment horizontal="left" vertical="center" wrapText="1"/>
    </xf>
    <xf numFmtId="0" fontId="23" fillId="9" borderId="12" xfId="5" applyFont="1" applyFill="1" applyBorder="1" applyAlignment="1">
      <alignment vertical="center" wrapText="1"/>
    </xf>
    <xf numFmtId="166" fontId="22" fillId="0" borderId="12" xfId="0" applyNumberFormat="1" applyFont="1" applyBorder="1" applyAlignment="1" applyProtection="1">
      <alignment horizontal="center" vertical="center" wrapText="1"/>
      <protection locked="0"/>
    </xf>
    <xf numFmtId="0" fontId="22" fillId="0" borderId="12" xfId="0" applyFont="1" applyBorder="1" applyAlignment="1" applyProtection="1">
      <alignment horizontal="center" vertical="center" wrapText="1"/>
      <protection locked="0"/>
    </xf>
    <xf numFmtId="9" fontId="22" fillId="0" borderId="12" xfId="0" applyNumberFormat="1" applyFont="1" applyBorder="1" applyAlignment="1" applyProtection="1">
      <alignment horizontal="center" vertical="center" wrapText="1"/>
      <protection locked="0"/>
    </xf>
    <xf numFmtId="9" fontId="22" fillId="13" borderId="12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Alignment="1">
      <alignment horizontal="left" vertical="center"/>
    </xf>
    <xf numFmtId="0" fontId="30" fillId="9" borderId="12" xfId="0" applyFont="1" applyFill="1" applyBorder="1" applyAlignment="1">
      <alignment vertical="center"/>
    </xf>
    <xf numFmtId="0" fontId="24" fillId="9" borderId="22" xfId="4" applyFont="1" applyFill="1" applyBorder="1" applyAlignment="1">
      <alignment horizontal="center" vertical="center" wrapText="1"/>
    </xf>
    <xf numFmtId="0" fontId="29" fillId="0" borderId="12" xfId="4" applyFont="1" applyBorder="1" applyAlignment="1" applyProtection="1">
      <alignment horizontal="center"/>
      <protection locked="0"/>
    </xf>
    <xf numFmtId="0" fontId="23" fillId="9" borderId="12" xfId="5" applyFont="1" applyFill="1" applyBorder="1" applyAlignment="1">
      <alignment horizontal="left" vertical="center" wrapText="1"/>
    </xf>
    <xf numFmtId="0" fontId="27" fillId="12" borderId="15" xfId="5" applyFont="1" applyFill="1" applyBorder="1" applyAlignment="1">
      <alignment horizontal="center"/>
    </xf>
    <xf numFmtId="0" fontId="0" fillId="0" borderId="15" xfId="0" applyBorder="1" applyAlignment="1" applyProtection="1">
      <alignment horizontal="center" vertical="center" wrapText="1"/>
      <protection locked="0"/>
    </xf>
    <xf numFmtId="166" fontId="13" fillId="0" borderId="15" xfId="4" applyNumberFormat="1" applyBorder="1" applyAlignment="1" applyProtection="1">
      <alignment horizontal="center" vertical="center"/>
      <protection locked="0"/>
    </xf>
    <xf numFmtId="164" fontId="27" fillId="12" borderId="15" xfId="1" applyNumberFormat="1" applyFont="1" applyFill="1" applyBorder="1" applyAlignment="1">
      <alignment horizontal="center"/>
    </xf>
    <xf numFmtId="165" fontId="27" fillId="12" borderId="15" xfId="5" applyNumberFormat="1" applyFont="1" applyFill="1" applyBorder="1" applyAlignment="1">
      <alignment horizontal="center"/>
    </xf>
    <xf numFmtId="4" fontId="27" fillId="12" borderId="15" xfId="5" applyNumberFormat="1" applyFont="1" applyFill="1" applyBorder="1" applyAlignment="1">
      <alignment horizontal="center"/>
    </xf>
    <xf numFmtId="0" fontId="27" fillId="12" borderId="12" xfId="5" applyFont="1" applyFill="1" applyBorder="1" applyAlignment="1">
      <alignment horizontal="left"/>
    </xf>
    <xf numFmtId="0" fontId="27" fillId="12" borderId="15" xfId="5" applyFont="1" applyFill="1" applyBorder="1" applyAlignment="1">
      <alignment horizontal="left"/>
    </xf>
    <xf numFmtId="0" fontId="27" fillId="12" borderId="12" xfId="5" applyFont="1" applyFill="1" applyBorder="1" applyAlignment="1">
      <alignment horizontal="left" wrapText="1"/>
    </xf>
    <xf numFmtId="0" fontId="22" fillId="9" borderId="12" xfId="4" applyFont="1" applyFill="1" applyBorder="1" applyAlignment="1">
      <alignment horizontal="left" vertical="center" wrapText="1"/>
    </xf>
    <xf numFmtId="1" fontId="13" fillId="0" borderId="12" xfId="4" applyNumberFormat="1" applyBorder="1" applyAlignment="1" applyProtection="1">
      <alignment horizontal="center"/>
      <protection locked="0"/>
    </xf>
    <xf numFmtId="0" fontId="25" fillId="9" borderId="18" xfId="0" applyFont="1" applyFill="1" applyBorder="1" applyAlignment="1">
      <alignment horizontal="left" vertical="center" wrapText="1"/>
    </xf>
    <xf numFmtId="0" fontId="23" fillId="9" borderId="20" xfId="5" applyFont="1" applyFill="1" applyBorder="1" applyAlignment="1">
      <alignment horizontal="left" vertical="center" wrapText="1"/>
    </xf>
    <xf numFmtId="0" fontId="27" fillId="12" borderId="20" xfId="5" applyFont="1" applyFill="1" applyBorder="1" applyAlignment="1">
      <alignment horizontal="left"/>
    </xf>
    <xf numFmtId="0" fontId="0" fillId="0" borderId="20" xfId="0" applyBorder="1" applyAlignment="1" applyProtection="1">
      <alignment horizontal="center" vertical="center" wrapText="1"/>
      <protection locked="0"/>
    </xf>
    <xf numFmtId="1" fontId="13" fillId="0" borderId="20" xfId="4" applyNumberFormat="1" applyBorder="1" applyAlignment="1" applyProtection="1">
      <alignment horizontal="center" vertical="center"/>
      <protection locked="0"/>
    </xf>
    <xf numFmtId="164" fontId="27" fillId="12" borderId="19" xfId="1" applyNumberFormat="1" applyFont="1" applyFill="1" applyBorder="1" applyAlignment="1">
      <alignment horizontal="center"/>
    </xf>
    <xf numFmtId="0" fontId="1" fillId="9" borderId="12" xfId="0" applyFont="1" applyFill="1" applyBorder="1" applyAlignment="1">
      <alignment vertical="center" wrapText="1"/>
    </xf>
    <xf numFmtId="0" fontId="31" fillId="9" borderId="12" xfId="5" applyFont="1" applyFill="1" applyBorder="1" applyAlignment="1">
      <alignment vertical="center"/>
    </xf>
    <xf numFmtId="0" fontId="31" fillId="9" borderId="14" xfId="5" applyFont="1" applyFill="1" applyBorder="1" applyAlignment="1">
      <alignment vertical="center"/>
    </xf>
    <xf numFmtId="0" fontId="27" fillId="12" borderId="12" xfId="5" applyFont="1" applyFill="1" applyBorder="1" applyAlignment="1">
      <alignment horizontal="center"/>
    </xf>
    <xf numFmtId="0" fontId="15" fillId="0" borderId="12" xfId="3" applyBorder="1" applyAlignment="1">
      <alignment horizontal="center"/>
    </xf>
    <xf numFmtId="0" fontId="20" fillId="0" borderId="12" xfId="0" applyFont="1" applyBorder="1" applyAlignment="1" applyProtection="1">
      <alignment horizontal="center" vertical="center" wrapText="1"/>
      <protection locked="0"/>
    </xf>
    <xf numFmtId="0" fontId="15" fillId="0" borderId="0" xfId="3" applyAlignment="1">
      <alignment horizontal="center"/>
    </xf>
    <xf numFmtId="0" fontId="0" fillId="0" borderId="12" xfId="0" applyBorder="1" applyAlignment="1" applyProtection="1">
      <alignment horizontal="center" wrapText="1"/>
      <protection locked="0"/>
    </xf>
    <xf numFmtId="0" fontId="22" fillId="9" borderId="12" xfId="4" applyFont="1" applyFill="1" applyBorder="1" applyAlignment="1">
      <alignment vertical="center" wrapText="1"/>
    </xf>
    <xf numFmtId="0" fontId="23" fillId="9" borderId="12" xfId="5" applyFont="1" applyFill="1" applyBorder="1" applyAlignment="1">
      <alignment horizontal="center" vertical="center" wrapText="1"/>
    </xf>
    <xf numFmtId="166" fontId="13" fillId="0" borderId="12" xfId="4" applyNumberFormat="1" applyBorder="1" applyAlignment="1" applyProtection="1">
      <alignment horizontal="center"/>
      <protection locked="0"/>
    </xf>
    <xf numFmtId="0" fontId="30" fillId="9" borderId="18" xfId="4" applyFont="1" applyFill="1" applyBorder="1" applyAlignment="1">
      <alignment horizontal="center"/>
    </xf>
    <xf numFmtId="0" fontId="30" fillId="9" borderId="20" xfId="4" applyFont="1" applyFill="1" applyBorder="1" applyAlignment="1">
      <alignment horizontal="center"/>
    </xf>
    <xf numFmtId="9" fontId="32" fillId="0" borderId="20" xfId="2" applyFont="1" applyBorder="1" applyAlignment="1" applyProtection="1">
      <alignment horizontal="center"/>
      <protection locked="0"/>
    </xf>
    <xf numFmtId="9" fontId="32" fillId="0" borderId="19" xfId="2" applyFont="1" applyBorder="1" applyAlignment="1" applyProtection="1">
      <alignment horizontal="center"/>
      <protection locked="0"/>
    </xf>
    <xf numFmtId="0" fontId="33" fillId="9" borderId="21" xfId="4" applyFont="1" applyFill="1" applyBorder="1" applyAlignment="1">
      <alignment vertical="center"/>
    </xf>
    <xf numFmtId="0" fontId="33" fillId="0" borderId="21" xfId="4" applyFont="1" applyBorder="1" applyAlignment="1" applyProtection="1">
      <alignment horizontal="center" vertical="center"/>
      <protection locked="0"/>
    </xf>
    <xf numFmtId="0" fontId="33" fillId="9" borderId="21" xfId="4" applyFont="1" applyFill="1" applyBorder="1" applyAlignment="1">
      <alignment horizontal="left" vertical="center"/>
    </xf>
    <xf numFmtId="0" fontId="22" fillId="9" borderId="18" xfId="4" applyFont="1" applyFill="1" applyBorder="1" applyAlignment="1">
      <alignment vertical="center" wrapText="1"/>
    </xf>
    <xf numFmtId="0" fontId="23" fillId="9" borderId="20" xfId="5" applyFont="1" applyFill="1" applyBorder="1" applyAlignment="1">
      <alignment vertical="center" wrapText="1"/>
    </xf>
    <xf numFmtId="166" fontId="13" fillId="0" borderId="20" xfId="4" applyNumberFormat="1" applyBorder="1" applyAlignment="1" applyProtection="1">
      <alignment horizontal="center" vertical="center"/>
      <protection locked="0"/>
    </xf>
    <xf numFmtId="0" fontId="23" fillId="9" borderId="12" xfId="5" applyFont="1" applyFill="1" applyBorder="1" applyAlignment="1">
      <alignment wrapText="1"/>
    </xf>
    <xf numFmtId="0" fontId="34" fillId="0" borderId="12" xfId="5" applyFont="1" applyBorder="1" applyAlignment="1">
      <alignment horizontal="center"/>
    </xf>
    <xf numFmtId="0" fontId="29" fillId="0" borderId="12" xfId="4" applyFont="1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 vertical="center" wrapText="1"/>
      <protection locked="0"/>
    </xf>
    <xf numFmtId="0" fontId="15" fillId="0" borderId="0" xfId="3" applyAlignment="1">
      <alignment horizontal="left"/>
    </xf>
    <xf numFmtId="1" fontId="15" fillId="0" borderId="0" xfId="3" applyNumberFormat="1"/>
    <xf numFmtId="0" fontId="35" fillId="14" borderId="12" xfId="0" applyFont="1" applyFill="1" applyBorder="1"/>
    <xf numFmtId="0" fontId="36" fillId="0" borderId="0" xfId="0" applyFont="1"/>
    <xf numFmtId="0" fontId="36" fillId="13" borderId="12" xfId="0" applyFont="1" applyFill="1" applyBorder="1" applyAlignment="1">
      <alignment horizontal="left"/>
    </xf>
    <xf numFmtId="0" fontId="36" fillId="13" borderId="12" xfId="0" applyFont="1" applyFill="1" applyBorder="1"/>
    <xf numFmtId="0" fontId="36" fillId="13" borderId="0" xfId="0" applyFont="1" applyFill="1"/>
    <xf numFmtId="166" fontId="36" fillId="13" borderId="12" xfId="0" applyNumberFormat="1" applyFont="1" applyFill="1" applyBorder="1"/>
    <xf numFmtId="164" fontId="27" fillId="12" borderId="12" xfId="1" applyNumberFormat="1" applyFont="1" applyFill="1" applyBorder="1" applyAlignment="1">
      <alignment horizontal="center" vertical="center"/>
    </xf>
    <xf numFmtId="165" fontId="27" fillId="12" borderId="12" xfId="5" applyNumberFormat="1" applyFont="1" applyFill="1" applyBorder="1" applyAlignment="1">
      <alignment horizontal="center" vertical="center"/>
    </xf>
    <xf numFmtId="4" fontId="27" fillId="12" borderId="12" xfId="5" applyNumberFormat="1" applyFont="1" applyFill="1" applyBorder="1" applyAlignment="1">
      <alignment horizontal="center" vertical="center"/>
    </xf>
    <xf numFmtId="0" fontId="24" fillId="9" borderId="12" xfId="4" applyFont="1" applyFill="1" applyBorder="1" applyAlignment="1">
      <alignment horizontal="center" vertical="center" wrapText="1"/>
    </xf>
    <xf numFmtId="0" fontId="22" fillId="9" borderId="13" xfId="4" applyFont="1" applyFill="1" applyBorder="1" applyAlignment="1">
      <alignment vertical="center" wrapText="1"/>
    </xf>
    <xf numFmtId="0" fontId="25" fillId="9" borderId="13" xfId="0" applyFont="1" applyFill="1" applyBorder="1" applyAlignment="1">
      <alignment vertical="center" wrapText="1"/>
    </xf>
    <xf numFmtId="0" fontId="23" fillId="9" borderId="13" xfId="5" applyFont="1" applyFill="1" applyBorder="1" applyAlignment="1">
      <alignment vertical="center" wrapText="1"/>
    </xf>
    <xf numFmtId="0" fontId="0" fillId="0" borderId="0" xfId="0" applyAlignment="1">
      <alignment horizontal="center"/>
    </xf>
    <xf numFmtId="14" fontId="0" fillId="0" borderId="0" xfId="0" applyNumberFormat="1" applyFill="1"/>
    <xf numFmtId="167" fontId="2" fillId="0" borderId="1" xfId="0" applyNumberFormat="1" applyFont="1" applyFill="1" applyBorder="1" applyAlignment="1">
      <alignment horizontal="left" vertical="center"/>
    </xf>
    <xf numFmtId="167" fontId="2" fillId="0" borderId="10" xfId="0" applyNumberFormat="1" applyFont="1" applyFill="1" applyBorder="1" applyAlignment="1">
      <alignment horizontal="left" vertical="center"/>
    </xf>
    <xf numFmtId="167" fontId="44" fillId="0" borderId="10" xfId="0" applyNumberFormat="1" applyFont="1" applyFill="1" applyBorder="1" applyAlignment="1">
      <alignment horizontal="left" vertical="center"/>
    </xf>
    <xf numFmtId="0" fontId="11" fillId="0" borderId="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/>
    </xf>
    <xf numFmtId="0" fontId="0" fillId="0" borderId="0" xfId="0" applyFill="1" applyBorder="1"/>
    <xf numFmtId="0" fontId="8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/>
    <xf numFmtId="0" fontId="9" fillId="0" borderId="0" xfId="0" applyFont="1" applyFill="1" applyBorder="1" applyAlignment="1">
      <alignment vertical="center" wrapText="1"/>
    </xf>
    <xf numFmtId="167" fontId="4" fillId="0" borderId="0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0" fontId="9" fillId="5" borderId="7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45" fillId="6" borderId="7" xfId="0" applyFont="1" applyFill="1" applyBorder="1" applyAlignment="1">
      <alignment horizontal="center" vertical="center"/>
    </xf>
    <xf numFmtId="0" fontId="46" fillId="0" borderId="9" xfId="0" applyFont="1" applyFill="1" applyBorder="1" applyAlignment="1">
      <alignment horizontal="center" vertical="center"/>
    </xf>
    <xf numFmtId="167" fontId="4" fillId="0" borderId="0" xfId="0" applyNumberFormat="1" applyFont="1" applyFill="1" applyBorder="1" applyAlignment="1">
      <alignment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48" fillId="0" borderId="0" xfId="0" applyFont="1" applyAlignment="1">
      <alignment horizontal="center" wrapText="1"/>
    </xf>
    <xf numFmtId="0" fontId="48" fillId="0" borderId="0" xfId="0" applyFont="1" applyAlignment="1">
      <alignment horizontal="center"/>
    </xf>
    <xf numFmtId="0" fontId="49" fillId="0" borderId="0" xfId="0" applyFont="1" applyAlignment="1">
      <alignment horizontal="center"/>
    </xf>
    <xf numFmtId="0" fontId="1" fillId="0" borderId="29" xfId="0" applyFont="1" applyBorder="1" applyAlignment="1">
      <alignment horizontal="center"/>
    </xf>
    <xf numFmtId="0" fontId="50" fillId="0" borderId="30" xfId="0" applyFont="1" applyBorder="1" applyAlignment="1">
      <alignment horizontal="center"/>
    </xf>
    <xf numFmtId="0" fontId="50" fillId="0" borderId="31" xfId="0" applyFont="1" applyBorder="1" applyAlignment="1">
      <alignment horizontal="center"/>
    </xf>
    <xf numFmtId="0" fontId="50" fillId="0" borderId="32" xfId="0" applyFont="1" applyBorder="1" applyAlignment="1">
      <alignment horizontal="center"/>
    </xf>
    <xf numFmtId="0" fontId="50" fillId="0" borderId="0" xfId="0" applyFont="1" applyAlignment="1">
      <alignment horizontal="center"/>
    </xf>
    <xf numFmtId="14" fontId="51" fillId="0" borderId="29" xfId="0" applyNumberFormat="1" applyFont="1" applyBorder="1" applyAlignment="1">
      <alignment horizontal="center"/>
    </xf>
    <xf numFmtId="0" fontId="8" fillId="16" borderId="12" xfId="0" applyFont="1" applyFill="1" applyBorder="1" applyAlignment="1">
      <alignment horizontal="center"/>
    </xf>
    <xf numFmtId="0" fontId="52" fillId="0" borderId="12" xfId="0" applyFont="1" applyBorder="1" applyAlignment="1">
      <alignment horizontal="center"/>
    </xf>
    <xf numFmtId="0" fontId="49" fillId="16" borderId="12" xfId="0" applyFont="1" applyFill="1" applyBorder="1" applyAlignment="1">
      <alignment horizontal="center"/>
    </xf>
    <xf numFmtId="0" fontId="7" fillId="0" borderId="1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0" fillId="0" borderId="12" xfId="0" applyFont="1" applyBorder="1"/>
    <xf numFmtId="0" fontId="49" fillId="0" borderId="12" xfId="0" applyFont="1" applyBorder="1" applyAlignment="1">
      <alignment vertical="center"/>
    </xf>
    <xf numFmtId="0" fontId="55" fillId="0" borderId="0" xfId="0" applyFont="1" applyAlignment="1">
      <alignment horizontal="right"/>
    </xf>
    <xf numFmtId="0" fontId="49" fillId="0" borderId="26" xfId="0" applyFont="1" applyBorder="1" applyAlignment="1">
      <alignment horizontal="center"/>
    </xf>
    <xf numFmtId="0" fontId="49" fillId="0" borderId="28" xfId="0" applyFont="1" applyBorder="1" applyAlignment="1">
      <alignment horizontal="center" vertical="center"/>
    </xf>
    <xf numFmtId="0" fontId="49" fillId="0" borderId="33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50" fillId="0" borderId="12" xfId="0" applyFont="1" applyBorder="1" applyAlignment="1">
      <alignment vertical="center"/>
    </xf>
    <xf numFmtId="0" fontId="0" fillId="0" borderId="12" xfId="0" applyBorder="1"/>
    <xf numFmtId="0" fontId="56" fillId="17" borderId="12" xfId="0" applyFont="1" applyFill="1" applyBorder="1"/>
    <xf numFmtId="0" fontId="53" fillId="17" borderId="12" xfId="0" applyFont="1" applyFill="1" applyBorder="1" applyAlignment="1">
      <alignment horizontal="center" vertical="center"/>
    </xf>
    <xf numFmtId="0" fontId="57" fillId="17" borderId="12" xfId="0" applyFont="1" applyFill="1" applyBorder="1"/>
    <xf numFmtId="0" fontId="8" fillId="0" borderId="0" xfId="0" applyFont="1" applyFill="1" applyBorder="1" applyAlignment="1"/>
    <xf numFmtId="167" fontId="8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textRotation="90" wrapText="1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47" fillId="0" borderId="0" xfId="0" applyFont="1" applyAlignment="1">
      <alignment horizontal="center" wrapText="1"/>
    </xf>
    <xf numFmtId="0" fontId="47" fillId="0" borderId="0" xfId="0" applyFont="1" applyAlignment="1">
      <alignment horizontal="center"/>
    </xf>
    <xf numFmtId="0" fontId="49" fillId="0" borderId="26" xfId="0" applyFont="1" applyBorder="1" applyAlignment="1">
      <alignment horizontal="center"/>
    </xf>
    <xf numFmtId="0" fontId="49" fillId="0" borderId="27" xfId="0" applyFont="1" applyBorder="1" applyAlignment="1">
      <alignment horizontal="center"/>
    </xf>
    <xf numFmtId="0" fontId="49" fillId="0" borderId="28" xfId="0" applyFont="1" applyBorder="1" applyAlignment="1">
      <alignment horizontal="center"/>
    </xf>
    <xf numFmtId="0" fontId="49" fillId="16" borderId="12" xfId="0" applyFont="1" applyFill="1" applyBorder="1" applyAlignment="1">
      <alignment horizontal="center"/>
    </xf>
    <xf numFmtId="0" fontId="49" fillId="0" borderId="12" xfId="0" applyFont="1" applyBorder="1" applyAlignment="1">
      <alignment horizontal="center" vertical="center"/>
    </xf>
    <xf numFmtId="0" fontId="54" fillId="0" borderId="17" xfId="0" applyFont="1" applyBorder="1" applyAlignment="1">
      <alignment horizontal="left"/>
    </xf>
    <xf numFmtId="0" fontId="54" fillId="0" borderId="20" xfId="0" applyFont="1" applyBorder="1" applyAlignment="1">
      <alignment horizontal="left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49" fillId="16" borderId="18" xfId="0" applyFont="1" applyFill="1" applyBorder="1" applyAlignment="1">
      <alignment horizontal="center"/>
    </xf>
    <xf numFmtId="0" fontId="49" fillId="16" borderId="20" xfId="0" applyFont="1" applyFill="1" applyBorder="1" applyAlignment="1">
      <alignment horizontal="center"/>
    </xf>
    <xf numFmtId="0" fontId="49" fillId="16" borderId="19" xfId="0" applyFont="1" applyFill="1" applyBorder="1" applyAlignment="1">
      <alignment horizontal="center"/>
    </xf>
    <xf numFmtId="0" fontId="50" fillId="0" borderId="18" xfId="0" applyFont="1" applyBorder="1" applyAlignment="1">
      <alignment horizontal="center" vertical="center"/>
    </xf>
    <xf numFmtId="0" fontId="50" fillId="0" borderId="20" xfId="0" applyFont="1" applyBorder="1" applyAlignment="1">
      <alignment horizontal="center" vertical="center"/>
    </xf>
    <xf numFmtId="0" fontId="50" fillId="0" borderId="19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6" fillId="7" borderId="0" xfId="4" applyFont="1" applyFill="1" applyAlignment="1">
      <alignment horizontal="center" vertical="center" wrapText="1"/>
    </xf>
    <xf numFmtId="0" fontId="16" fillId="8" borderId="17" xfId="4" applyFont="1" applyFill="1" applyBorder="1" applyAlignment="1">
      <alignment horizontal="center" vertical="center" wrapText="1"/>
    </xf>
    <xf numFmtId="0" fontId="17" fillId="9" borderId="18" xfId="4" applyFont="1" applyFill="1" applyBorder="1" applyAlignment="1">
      <alignment horizontal="left" vertical="center" wrapText="1"/>
    </xf>
    <xf numFmtId="0" fontId="17" fillId="9" borderId="19" xfId="4" applyFont="1" applyFill="1" applyBorder="1" applyAlignment="1">
      <alignment horizontal="left" vertical="center" wrapText="1"/>
    </xf>
    <xf numFmtId="16" fontId="18" fillId="0" borderId="18" xfId="4" applyNumberFormat="1" applyFont="1" applyBorder="1" applyAlignment="1" applyProtection="1">
      <alignment horizontal="left" vertical="center" wrapText="1"/>
      <protection locked="0"/>
    </xf>
    <xf numFmtId="16" fontId="18" fillId="0" borderId="20" xfId="4" applyNumberFormat="1" applyFont="1" applyBorder="1" applyAlignment="1" applyProtection="1">
      <alignment horizontal="left" vertical="center" wrapText="1"/>
      <protection locked="0"/>
    </xf>
    <xf numFmtId="16" fontId="18" fillId="0" borderId="19" xfId="4" applyNumberFormat="1" applyFont="1" applyBorder="1" applyAlignment="1" applyProtection="1">
      <alignment horizontal="left" vertical="center" wrapText="1"/>
      <protection locked="0"/>
    </xf>
    <xf numFmtId="0" fontId="19" fillId="9" borderId="18" xfId="4" applyFont="1" applyFill="1" applyBorder="1" applyAlignment="1">
      <alignment horizontal="left" vertical="center" wrapText="1"/>
    </xf>
    <xf numFmtId="0" fontId="19" fillId="9" borderId="19" xfId="4" applyFont="1" applyFill="1" applyBorder="1" applyAlignment="1">
      <alignment horizontal="left" vertical="center" wrapText="1"/>
    </xf>
    <xf numFmtId="0" fontId="20" fillId="0" borderId="18" xfId="4" applyFont="1" applyBorder="1" applyAlignment="1" applyProtection="1">
      <alignment horizontal="left"/>
      <protection locked="0"/>
    </xf>
    <xf numFmtId="0" fontId="20" fillId="0" borderId="20" xfId="4" applyFont="1" applyBorder="1" applyAlignment="1" applyProtection="1">
      <alignment horizontal="left"/>
      <protection locked="0"/>
    </xf>
    <xf numFmtId="0" fontId="20" fillId="0" borderId="19" xfId="4" applyFont="1" applyBorder="1" applyAlignment="1" applyProtection="1">
      <alignment horizontal="left"/>
      <protection locked="0"/>
    </xf>
    <xf numFmtId="0" fontId="18" fillId="0" borderId="18" xfId="4" applyFont="1" applyBorder="1" applyAlignment="1" applyProtection="1">
      <alignment horizontal="left" vertical="center" wrapText="1"/>
      <protection locked="0"/>
    </xf>
    <xf numFmtId="0" fontId="18" fillId="0" borderId="20" xfId="4" applyFont="1" applyBorder="1" applyAlignment="1" applyProtection="1">
      <alignment horizontal="left" vertical="center" wrapText="1"/>
      <protection locked="0"/>
    </xf>
    <xf numFmtId="0" fontId="18" fillId="0" borderId="19" xfId="4" applyFont="1" applyBorder="1" applyAlignment="1" applyProtection="1">
      <alignment horizontal="left" vertical="center" wrapText="1"/>
      <protection locked="0"/>
    </xf>
    <xf numFmtId="0" fontId="17" fillId="9" borderId="21" xfId="4" applyFont="1" applyFill="1" applyBorder="1" applyAlignment="1">
      <alignment horizontal="left" vertical="center" wrapText="1"/>
    </xf>
    <xf numFmtId="0" fontId="17" fillId="9" borderId="22" xfId="4" applyFont="1" applyFill="1" applyBorder="1" applyAlignment="1">
      <alignment horizontal="left" vertical="center" wrapText="1"/>
    </xf>
    <xf numFmtId="0" fontId="17" fillId="9" borderId="17" xfId="4" applyFont="1" applyFill="1" applyBorder="1" applyAlignment="1">
      <alignment horizontal="left" vertical="center" wrapText="1"/>
    </xf>
    <xf numFmtId="0" fontId="17" fillId="9" borderId="23" xfId="4" applyFont="1" applyFill="1" applyBorder="1" applyAlignment="1">
      <alignment horizontal="left" vertical="center" wrapText="1"/>
    </xf>
    <xf numFmtId="1" fontId="21" fillId="9" borderId="18" xfId="4" applyNumberFormat="1" applyFont="1" applyFill="1" applyBorder="1" applyAlignment="1">
      <alignment horizontal="left" vertical="center" wrapText="1"/>
    </xf>
    <xf numFmtId="1" fontId="21" fillId="9" borderId="19" xfId="4" applyNumberFormat="1" applyFont="1" applyFill="1" applyBorder="1" applyAlignment="1">
      <alignment horizontal="left" vertical="center" wrapText="1"/>
    </xf>
    <xf numFmtId="0" fontId="21" fillId="0" borderId="18" xfId="4" applyFont="1" applyBorder="1" applyAlignment="1" applyProtection="1">
      <alignment horizontal="center" vertical="center" wrapText="1"/>
      <protection locked="0"/>
    </xf>
    <xf numFmtId="0" fontId="21" fillId="0" borderId="19" xfId="4" applyFont="1" applyBorder="1" applyAlignment="1" applyProtection="1">
      <alignment horizontal="center" vertical="center" wrapText="1"/>
      <protection locked="0"/>
    </xf>
    <xf numFmtId="0" fontId="21" fillId="9" borderId="18" xfId="4" applyFont="1" applyFill="1" applyBorder="1" applyAlignment="1">
      <alignment horizontal="left" vertical="center" wrapText="1"/>
    </xf>
    <xf numFmtId="0" fontId="21" fillId="9" borderId="19" xfId="4" applyFont="1" applyFill="1" applyBorder="1" applyAlignment="1">
      <alignment horizontal="left" vertical="center" wrapText="1"/>
    </xf>
    <xf numFmtId="0" fontId="21" fillId="0" borderId="18" xfId="4" applyFont="1" applyBorder="1" applyAlignment="1" applyProtection="1">
      <alignment horizontal="left" vertical="center" wrapText="1"/>
      <protection locked="0"/>
    </xf>
    <xf numFmtId="0" fontId="21" fillId="0" borderId="19" xfId="4" applyFont="1" applyBorder="1" applyAlignment="1" applyProtection="1">
      <alignment horizontal="left" vertical="center" wrapText="1"/>
      <protection locked="0"/>
    </xf>
    <xf numFmtId="0" fontId="17" fillId="11" borderId="18" xfId="4" applyFont="1" applyFill="1" applyBorder="1" applyAlignment="1">
      <alignment horizontal="center" vertical="center" wrapText="1"/>
    </xf>
    <xf numFmtId="0" fontId="17" fillId="11" borderId="20" xfId="4" applyFont="1" applyFill="1" applyBorder="1" applyAlignment="1">
      <alignment horizontal="center" vertical="center" wrapText="1"/>
    </xf>
    <xf numFmtId="0" fontId="17" fillId="11" borderId="19" xfId="4" applyFont="1" applyFill="1" applyBorder="1" applyAlignment="1">
      <alignment horizontal="center" vertical="center" wrapText="1"/>
    </xf>
    <xf numFmtId="0" fontId="22" fillId="9" borderId="12" xfId="4" applyFont="1" applyFill="1" applyBorder="1" applyAlignment="1">
      <alignment vertical="center" wrapText="1"/>
    </xf>
    <xf numFmtId="0" fontId="22" fillId="9" borderId="13" xfId="4" applyFont="1" applyFill="1" applyBorder="1" applyAlignment="1">
      <alignment vertical="center" wrapText="1"/>
    </xf>
    <xf numFmtId="0" fontId="22" fillId="9" borderId="12" xfId="4" applyFont="1" applyFill="1" applyBorder="1" applyAlignment="1">
      <alignment horizontal="center" vertical="center" wrapText="1"/>
    </xf>
    <xf numFmtId="0" fontId="22" fillId="9" borderId="13" xfId="4" applyFont="1" applyFill="1" applyBorder="1" applyAlignment="1">
      <alignment horizontal="center" vertical="center" wrapText="1"/>
    </xf>
    <xf numFmtId="0" fontId="22" fillId="9" borderId="12" xfId="4" applyFont="1" applyFill="1" applyBorder="1" applyAlignment="1">
      <alignment horizontal="left" vertical="center" wrapText="1"/>
    </xf>
    <xf numFmtId="0" fontId="22" fillId="9" borderId="13" xfId="4" applyFont="1" applyFill="1" applyBorder="1" applyAlignment="1">
      <alignment horizontal="left" vertical="center" wrapText="1"/>
    </xf>
    <xf numFmtId="1" fontId="22" fillId="9" borderId="12" xfId="4" applyNumberFormat="1" applyFont="1" applyFill="1" applyBorder="1" applyAlignment="1">
      <alignment horizontal="center" vertical="center" wrapText="1"/>
    </xf>
    <xf numFmtId="1" fontId="22" fillId="9" borderId="13" xfId="4" applyNumberFormat="1" applyFont="1" applyFill="1" applyBorder="1" applyAlignment="1">
      <alignment horizontal="center" vertical="center" wrapText="1"/>
    </xf>
    <xf numFmtId="0" fontId="22" fillId="9" borderId="12" xfId="0" applyFont="1" applyFill="1" applyBorder="1" applyAlignment="1">
      <alignment horizontal="center"/>
    </xf>
    <xf numFmtId="0" fontId="30" fillId="10" borderId="18" xfId="4" applyFont="1" applyFill="1" applyBorder="1" applyAlignment="1">
      <alignment horizontal="center"/>
    </xf>
    <xf numFmtId="0" fontId="30" fillId="10" borderId="20" xfId="4" applyFont="1" applyFill="1" applyBorder="1" applyAlignment="1">
      <alignment horizontal="center"/>
    </xf>
    <xf numFmtId="0" fontId="30" fillId="10" borderId="19" xfId="4" applyFont="1" applyFill="1" applyBorder="1" applyAlignment="1">
      <alignment horizontal="center"/>
    </xf>
    <xf numFmtId="0" fontId="22" fillId="9" borderId="18" xfId="0" applyFont="1" applyFill="1" applyBorder="1" applyAlignment="1">
      <alignment horizontal="left" vertical="center"/>
    </xf>
    <xf numFmtId="0" fontId="22" fillId="9" borderId="20" xfId="0" applyFont="1" applyFill="1" applyBorder="1" applyAlignment="1">
      <alignment horizontal="left" vertical="center"/>
    </xf>
    <xf numFmtId="0" fontId="22" fillId="9" borderId="19" xfId="0" applyFont="1" applyFill="1" applyBorder="1" applyAlignment="1">
      <alignment horizontal="left" vertical="center"/>
    </xf>
    <xf numFmtId="0" fontId="30" fillId="13" borderId="18" xfId="0" applyFont="1" applyFill="1" applyBorder="1" applyAlignment="1" applyProtection="1">
      <alignment horizontal="center" vertical="center"/>
      <protection locked="0"/>
    </xf>
    <xf numFmtId="0" fontId="30" fillId="13" borderId="20" xfId="0" applyFont="1" applyFill="1" applyBorder="1" applyAlignment="1" applyProtection="1">
      <alignment horizontal="center" vertical="center"/>
      <protection locked="0"/>
    </xf>
    <xf numFmtId="0" fontId="30" fillId="13" borderId="19" xfId="0" applyFont="1" applyFill="1" applyBorder="1" applyAlignment="1" applyProtection="1">
      <alignment horizontal="center" vertical="center"/>
      <protection locked="0"/>
    </xf>
    <xf numFmtId="0" fontId="23" fillId="9" borderId="12" xfId="4" applyFont="1" applyFill="1" applyBorder="1" applyAlignment="1">
      <alignment horizontal="center" vertical="center" wrapText="1"/>
    </xf>
    <xf numFmtId="0" fontId="25" fillId="9" borderId="13" xfId="0" applyFont="1" applyFill="1" applyBorder="1" applyAlignment="1">
      <alignment vertical="center" wrapText="1"/>
    </xf>
    <xf numFmtId="0" fontId="25" fillId="9" borderId="14" xfId="0" applyFont="1" applyFill="1" applyBorder="1" applyAlignment="1">
      <alignment vertical="center" wrapText="1"/>
    </xf>
    <xf numFmtId="0" fontId="25" fillId="9" borderId="15" xfId="0" applyFont="1" applyFill="1" applyBorder="1" applyAlignment="1">
      <alignment vertical="center" wrapText="1"/>
    </xf>
    <xf numFmtId="0" fontId="23" fillId="9" borderId="13" xfId="5" applyFont="1" applyFill="1" applyBorder="1" applyAlignment="1">
      <alignment vertical="center" wrapText="1"/>
    </xf>
    <xf numFmtId="0" fontId="23" fillId="9" borderId="14" xfId="5" applyFont="1" applyFill="1" applyBorder="1" applyAlignment="1">
      <alignment vertical="center" wrapText="1"/>
    </xf>
    <xf numFmtId="0" fontId="23" fillId="9" borderId="15" xfId="5" applyFont="1" applyFill="1" applyBorder="1" applyAlignment="1">
      <alignment vertical="center" wrapText="1"/>
    </xf>
    <xf numFmtId="0" fontId="22" fillId="9" borderId="14" xfId="4" applyFont="1" applyFill="1" applyBorder="1" applyAlignment="1">
      <alignment vertical="center" wrapText="1"/>
    </xf>
    <xf numFmtId="0" fontId="22" fillId="9" borderId="15" xfId="4" applyFont="1" applyFill="1" applyBorder="1" applyAlignment="1">
      <alignment vertical="center" wrapText="1"/>
    </xf>
    <xf numFmtId="0" fontId="30" fillId="0" borderId="12" xfId="0" applyFont="1" applyBorder="1" applyAlignment="1" applyProtection="1">
      <alignment horizontal="center" vertical="center"/>
      <protection locked="0"/>
    </xf>
    <xf numFmtId="0" fontId="22" fillId="9" borderId="12" xfId="0" applyFont="1" applyFill="1" applyBorder="1" applyAlignment="1">
      <alignment horizontal="left" vertical="center"/>
    </xf>
    <xf numFmtId="0" fontId="30" fillId="9" borderId="18" xfId="0" applyFont="1" applyFill="1" applyBorder="1" applyAlignment="1">
      <alignment horizontal="center" vertical="center"/>
    </xf>
    <xf numFmtId="0" fontId="30" fillId="9" borderId="20" xfId="0" applyFont="1" applyFill="1" applyBorder="1" applyAlignment="1">
      <alignment horizontal="center" vertical="center"/>
    </xf>
    <xf numFmtId="0" fontId="30" fillId="9" borderId="19" xfId="0" applyFont="1" applyFill="1" applyBorder="1" applyAlignment="1">
      <alignment horizontal="center" vertical="center"/>
    </xf>
    <xf numFmtId="0" fontId="22" fillId="9" borderId="14" xfId="4" applyFont="1" applyFill="1" applyBorder="1" applyAlignment="1">
      <alignment horizontal="center" vertical="center" wrapText="1"/>
    </xf>
    <xf numFmtId="0" fontId="22" fillId="9" borderId="14" xfId="4" applyFont="1" applyFill="1" applyBorder="1" applyAlignment="1">
      <alignment horizontal="left" vertical="center" wrapText="1"/>
    </xf>
    <xf numFmtId="1" fontId="22" fillId="9" borderId="14" xfId="4" applyNumberFormat="1" applyFont="1" applyFill="1" applyBorder="1" applyAlignment="1">
      <alignment horizontal="center" vertical="center" wrapText="1"/>
    </xf>
    <xf numFmtId="0" fontId="25" fillId="9" borderId="13" xfId="0" applyFont="1" applyFill="1" applyBorder="1" applyAlignment="1">
      <alignment horizontal="left" vertical="center" wrapText="1"/>
    </xf>
    <xf numFmtId="0" fontId="25" fillId="9" borderId="15" xfId="0" applyFont="1" applyFill="1" applyBorder="1" applyAlignment="1">
      <alignment horizontal="left" vertical="center" wrapText="1"/>
    </xf>
    <xf numFmtId="0" fontId="23" fillId="9" borderId="13" xfId="5" applyFont="1" applyFill="1" applyBorder="1" applyAlignment="1">
      <alignment horizontal="left" vertical="center" wrapText="1"/>
    </xf>
    <xf numFmtId="0" fontId="23" fillId="9" borderId="15" xfId="5" applyFont="1" applyFill="1" applyBorder="1" applyAlignment="1">
      <alignment horizontal="left" vertical="center" wrapText="1"/>
    </xf>
    <xf numFmtId="0" fontId="23" fillId="9" borderId="18" xfId="4" applyFont="1" applyFill="1" applyBorder="1" applyAlignment="1">
      <alignment horizontal="center" vertical="center" wrapText="1"/>
    </xf>
    <xf numFmtId="0" fontId="23" fillId="9" borderId="20" xfId="4" applyFont="1" applyFill="1" applyBorder="1" applyAlignment="1">
      <alignment horizontal="center" vertical="center" wrapText="1"/>
    </xf>
    <xf numFmtId="0" fontId="23" fillId="9" borderId="19" xfId="4" applyFont="1" applyFill="1" applyBorder="1" applyAlignment="1">
      <alignment horizontal="center" vertical="center" wrapText="1"/>
    </xf>
    <xf numFmtId="0" fontId="25" fillId="9" borderId="14" xfId="0" applyFont="1" applyFill="1" applyBorder="1" applyAlignment="1">
      <alignment horizontal="left" vertical="center" wrapText="1"/>
    </xf>
    <xf numFmtId="0" fontId="23" fillId="9" borderId="14" xfId="5" applyFont="1" applyFill="1" applyBorder="1" applyAlignment="1">
      <alignment horizontal="left" vertical="center" wrapText="1"/>
    </xf>
    <xf numFmtId="0" fontId="22" fillId="9" borderId="18" xfId="0" applyFont="1" applyFill="1" applyBorder="1" applyAlignment="1">
      <alignment horizontal="center" vertical="center"/>
    </xf>
    <xf numFmtId="0" fontId="22" fillId="9" borderId="20" xfId="0" applyFont="1" applyFill="1" applyBorder="1" applyAlignment="1">
      <alignment horizontal="center" vertical="center"/>
    </xf>
    <xf numFmtId="0" fontId="22" fillId="9" borderId="19" xfId="0" applyFont="1" applyFill="1" applyBorder="1" applyAlignment="1">
      <alignment horizontal="center" vertical="center"/>
    </xf>
    <xf numFmtId="0" fontId="30" fillId="9" borderId="18" xfId="4" applyFont="1" applyFill="1" applyBorder="1" applyAlignment="1">
      <alignment horizontal="center"/>
    </xf>
    <xf numFmtId="0" fontId="30" fillId="9" borderId="20" xfId="4" applyFont="1" applyFill="1" applyBorder="1" applyAlignment="1">
      <alignment horizontal="center"/>
    </xf>
    <xf numFmtId="0" fontId="30" fillId="9" borderId="19" xfId="4" applyFont="1" applyFill="1" applyBorder="1" applyAlignment="1">
      <alignment horizontal="center"/>
    </xf>
    <xf numFmtId="0" fontId="20" fillId="10" borderId="18" xfId="4" applyFont="1" applyFill="1" applyBorder="1" applyAlignment="1">
      <alignment horizontal="center"/>
    </xf>
    <xf numFmtId="0" fontId="20" fillId="10" borderId="20" xfId="4" applyFont="1" applyFill="1" applyBorder="1" applyAlignment="1">
      <alignment horizontal="center"/>
    </xf>
    <xf numFmtId="0" fontId="20" fillId="10" borderId="19" xfId="4" applyFont="1" applyFill="1" applyBorder="1" applyAlignment="1">
      <alignment horizontal="center"/>
    </xf>
    <xf numFmtId="0" fontId="30" fillId="9" borderId="12" xfId="0" applyFont="1" applyFill="1" applyBorder="1" applyAlignment="1">
      <alignment horizontal="left" vertical="center"/>
    </xf>
    <xf numFmtId="0" fontId="30" fillId="9" borderId="21" xfId="0" applyFont="1" applyFill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23" fillId="9" borderId="13" xfId="5" applyFont="1" applyFill="1" applyBorder="1" applyAlignment="1">
      <alignment horizontal="left" vertical="center"/>
    </xf>
    <xf numFmtId="0" fontId="23" fillId="9" borderId="14" xfId="5" applyFont="1" applyFill="1" applyBorder="1" applyAlignment="1">
      <alignment horizontal="left" vertical="center"/>
    </xf>
    <xf numFmtId="0" fontId="23" fillId="9" borderId="15" xfId="5" applyFont="1" applyFill="1" applyBorder="1" applyAlignment="1">
      <alignment horizontal="left" vertical="center"/>
    </xf>
    <xf numFmtId="0" fontId="30" fillId="9" borderId="18" xfId="0" applyFont="1" applyFill="1" applyBorder="1" applyAlignment="1">
      <alignment horizontal="left" vertical="center"/>
    </xf>
    <xf numFmtId="0" fontId="30" fillId="9" borderId="20" xfId="0" applyFont="1" applyFill="1" applyBorder="1" applyAlignment="1">
      <alignment horizontal="left" vertical="center"/>
    </xf>
    <xf numFmtId="0" fontId="30" fillId="9" borderId="19" xfId="0" applyFont="1" applyFill="1" applyBorder="1" applyAlignment="1">
      <alignment horizontal="left" vertical="center"/>
    </xf>
    <xf numFmtId="0" fontId="30" fillId="0" borderId="18" xfId="0" applyFont="1" applyBorder="1" applyAlignment="1" applyProtection="1">
      <alignment horizontal="center" vertical="center"/>
      <protection locked="0"/>
    </xf>
    <xf numFmtId="0" fontId="30" fillId="0" borderId="20" xfId="0" applyFont="1" applyBorder="1" applyAlignment="1" applyProtection="1">
      <alignment horizontal="center" vertical="center"/>
      <protection locked="0"/>
    </xf>
    <xf numFmtId="0" fontId="30" fillId="0" borderId="19" xfId="0" applyFont="1" applyBorder="1" applyAlignment="1" applyProtection="1">
      <alignment horizontal="center" vertical="center"/>
      <protection locked="0"/>
    </xf>
    <xf numFmtId="0" fontId="1" fillId="9" borderId="13" xfId="0" applyFont="1" applyFill="1" applyBorder="1" applyAlignment="1">
      <alignment horizontal="left" vertical="center" wrapText="1"/>
    </xf>
    <xf numFmtId="0" fontId="1" fillId="9" borderId="14" xfId="0" applyFont="1" applyFill="1" applyBorder="1" applyAlignment="1">
      <alignment horizontal="left" vertical="center" wrapText="1"/>
    </xf>
    <xf numFmtId="0" fontId="1" fillId="9" borderId="15" xfId="0" applyFont="1" applyFill="1" applyBorder="1" applyAlignment="1">
      <alignment horizontal="left" vertical="center" wrapText="1"/>
    </xf>
    <xf numFmtId="0" fontId="31" fillId="9" borderId="13" xfId="5" applyFont="1" applyFill="1" applyBorder="1" applyAlignment="1">
      <alignment horizontal="left" vertical="center" wrapText="1"/>
    </xf>
    <xf numFmtId="0" fontId="31" fillId="9" borderId="14" xfId="5" applyFont="1" applyFill="1" applyBorder="1" applyAlignment="1">
      <alignment horizontal="left" vertical="center" wrapText="1"/>
    </xf>
    <xf numFmtId="0" fontId="31" fillId="9" borderId="15" xfId="5" applyFont="1" applyFill="1" applyBorder="1" applyAlignment="1">
      <alignment horizontal="left" vertical="center" wrapText="1"/>
    </xf>
    <xf numFmtId="0" fontId="31" fillId="9" borderId="13" xfId="5" applyFont="1" applyFill="1" applyBorder="1" applyAlignment="1">
      <alignment horizontal="left" vertical="center"/>
    </xf>
    <xf numFmtId="0" fontId="31" fillId="9" borderId="14" xfId="5" applyFont="1" applyFill="1" applyBorder="1" applyAlignment="1">
      <alignment horizontal="left" vertical="center"/>
    </xf>
    <xf numFmtId="0" fontId="31" fillId="9" borderId="15" xfId="5" applyFont="1" applyFill="1" applyBorder="1" applyAlignment="1">
      <alignment horizontal="left" vertical="center"/>
    </xf>
    <xf numFmtId="0" fontId="14" fillId="0" borderId="20" xfId="4" applyFont="1" applyBorder="1" applyAlignment="1">
      <alignment horizontal="center" vertical="center" wrapText="1"/>
    </xf>
    <xf numFmtId="0" fontId="22" fillId="9" borderId="15" xfId="4" applyFont="1" applyFill="1" applyBorder="1" applyAlignment="1">
      <alignment horizontal="left" vertical="center" wrapText="1"/>
    </xf>
    <xf numFmtId="0" fontId="32" fillId="10" borderId="18" xfId="4" applyFont="1" applyFill="1" applyBorder="1" applyAlignment="1">
      <alignment horizontal="center"/>
    </xf>
    <xf numFmtId="0" fontId="32" fillId="10" borderId="20" xfId="4" applyFont="1" applyFill="1" applyBorder="1" applyAlignment="1">
      <alignment horizontal="center"/>
    </xf>
    <xf numFmtId="0" fontId="32" fillId="10" borderId="19" xfId="4" applyFont="1" applyFill="1" applyBorder="1" applyAlignment="1">
      <alignment horizontal="center"/>
    </xf>
    <xf numFmtId="0" fontId="29" fillId="10" borderId="20" xfId="4" applyFont="1" applyFill="1" applyBorder="1" applyAlignment="1">
      <alignment horizontal="center"/>
    </xf>
    <xf numFmtId="0" fontId="29" fillId="10" borderId="19" xfId="4" applyFont="1" applyFill="1" applyBorder="1" applyAlignment="1">
      <alignment horizontal="center"/>
    </xf>
    <xf numFmtId="0" fontId="22" fillId="9" borderId="15" xfId="4" applyFont="1" applyFill="1" applyBorder="1" applyAlignment="1">
      <alignment horizontal="center" vertical="center" wrapText="1"/>
    </xf>
    <xf numFmtId="0" fontId="23" fillId="9" borderId="13" xfId="5" applyFont="1" applyFill="1" applyBorder="1" applyAlignment="1">
      <alignment horizontal="center" vertical="center"/>
    </xf>
    <xf numFmtId="0" fontId="23" fillId="9" borderId="14" xfId="5" applyFont="1" applyFill="1" applyBorder="1" applyAlignment="1">
      <alignment horizontal="center" vertical="center"/>
    </xf>
    <xf numFmtId="0" fontId="23" fillId="9" borderId="15" xfId="5" applyFont="1" applyFill="1" applyBorder="1" applyAlignment="1">
      <alignment horizontal="center" vertical="center"/>
    </xf>
    <xf numFmtId="0" fontId="23" fillId="9" borderId="13" xfId="5" applyFont="1" applyFill="1" applyBorder="1" applyAlignment="1">
      <alignment horizontal="center" vertical="center" wrapText="1"/>
    </xf>
    <xf numFmtId="0" fontId="23" fillId="9" borderId="14" xfId="5" applyFont="1" applyFill="1" applyBorder="1" applyAlignment="1">
      <alignment horizontal="center" vertical="center" wrapText="1"/>
    </xf>
    <xf numFmtId="0" fontId="23" fillId="9" borderId="15" xfId="5" applyFont="1" applyFill="1" applyBorder="1" applyAlignment="1">
      <alignment horizontal="center" vertical="center" wrapText="1"/>
    </xf>
    <xf numFmtId="0" fontId="23" fillId="9" borderId="13" xfId="5" applyFont="1" applyFill="1" applyBorder="1" applyAlignment="1">
      <alignment vertical="center"/>
    </xf>
    <xf numFmtId="0" fontId="23" fillId="9" borderId="14" xfId="5" applyFont="1" applyFill="1" applyBorder="1" applyAlignment="1">
      <alignment vertical="center"/>
    </xf>
    <xf numFmtId="0" fontId="23" fillId="9" borderId="15" xfId="5" applyFont="1" applyFill="1" applyBorder="1" applyAlignment="1">
      <alignment vertical="center"/>
    </xf>
    <xf numFmtId="0" fontId="33" fillId="0" borderId="20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/>
    </xf>
    <xf numFmtId="0" fontId="20" fillId="0" borderId="20" xfId="4" applyFont="1" applyBorder="1" applyAlignment="1">
      <alignment horizontal="center"/>
    </xf>
    <xf numFmtId="0" fontId="20" fillId="0" borderId="19" xfId="4" applyFont="1" applyBorder="1" applyAlignment="1">
      <alignment horizontal="center"/>
    </xf>
    <xf numFmtId="0" fontId="30" fillId="0" borderId="18" xfId="4" applyFont="1" applyBorder="1" applyAlignment="1">
      <alignment horizontal="center"/>
    </xf>
    <xf numFmtId="0" fontId="30" fillId="0" borderId="20" xfId="4" applyFont="1" applyBorder="1" applyAlignment="1">
      <alignment horizontal="center"/>
    </xf>
    <xf numFmtId="0" fontId="30" fillId="0" borderId="19" xfId="4" applyFont="1" applyBorder="1" applyAlignment="1">
      <alignment horizontal="center"/>
    </xf>
    <xf numFmtId="0" fontId="17" fillId="10" borderId="20" xfId="4" applyFont="1" applyFill="1" applyBorder="1" applyAlignment="1">
      <alignment horizontal="center" vertical="center" wrapText="1"/>
    </xf>
    <xf numFmtId="0" fontId="17" fillId="10" borderId="19" xfId="4" applyFont="1" applyFill="1" applyBorder="1" applyAlignment="1">
      <alignment horizontal="center" vertical="center" wrapText="1"/>
    </xf>
    <xf numFmtId="0" fontId="14" fillId="0" borderId="21" xfId="4" applyFont="1" applyBorder="1" applyAlignment="1">
      <alignment horizontal="center" vertical="center" wrapText="1"/>
    </xf>
    <xf numFmtId="0" fontId="15" fillId="0" borderId="0" xfId="3" applyFill="1" applyAlignment="1">
      <alignment horizontal="center"/>
    </xf>
    <xf numFmtId="0" fontId="15" fillId="0" borderId="25" xfId="3" applyFill="1" applyBorder="1" applyAlignment="1">
      <alignment horizontal="center"/>
    </xf>
    <xf numFmtId="0" fontId="39" fillId="9" borderId="18" xfId="4" applyFont="1" applyFill="1" applyBorder="1" applyAlignment="1">
      <alignment horizontal="left" vertical="center" wrapText="1"/>
    </xf>
    <xf numFmtId="0" fontId="39" fillId="9" borderId="19" xfId="4" applyFont="1" applyFill="1" applyBorder="1" applyAlignment="1">
      <alignment horizontal="left" vertical="center" wrapText="1"/>
    </xf>
    <xf numFmtId="0" fontId="41" fillId="9" borderId="18" xfId="4" applyFont="1" applyFill="1" applyBorder="1" applyAlignment="1">
      <alignment horizontal="left" vertical="center" wrapText="1"/>
    </xf>
    <xf numFmtId="0" fontId="41" fillId="9" borderId="19" xfId="4" applyFont="1" applyFill="1" applyBorder="1" applyAlignment="1">
      <alignment horizontal="left" vertical="center" wrapText="1"/>
    </xf>
    <xf numFmtId="0" fontId="40" fillId="15" borderId="20" xfId="4" applyFont="1" applyFill="1" applyBorder="1" applyAlignment="1">
      <alignment horizontal="center" wrapText="1"/>
    </xf>
    <xf numFmtId="0" fontId="40" fillId="15" borderId="19" xfId="4" applyFont="1" applyFill="1" applyBorder="1" applyAlignment="1">
      <alignment horizontal="center" wrapText="1"/>
    </xf>
  </cellXfs>
  <cellStyles count="6">
    <cellStyle name="Millares [0]" xfId="1" builtinId="6"/>
    <cellStyle name="Normal" xfId="0" builtinId="0"/>
    <cellStyle name="Normal 18" xfId="4" xr:uid="{095B6FC6-29B5-4DDE-AF25-08A2375FFC52}"/>
    <cellStyle name="Normal 2" xfId="3" xr:uid="{895E34E9-7ED5-45C8-9D81-C099B6C5CEFC}"/>
    <cellStyle name="Normal_LISTA DE INTERCAMBIOS REGIONAL 25-03-10" xfId="5" xr:uid="{6A4AFE2B-AC91-4410-A604-822C1B5C4484}"/>
    <cellStyle name="Porcentaje" xfId="2" builtinId="5"/>
  </cellStyles>
  <dxfs count="4">
    <dxf>
      <font>
        <b val="0"/>
        <i val="0"/>
      </font>
      <fill>
        <patternFill patternType="solid">
          <bgColor theme="2" tint="-9.9948118533890809E-2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ont>
        <b val="0"/>
        <i val="0"/>
      </font>
      <fill>
        <patternFill patternType="solid">
          <bgColor theme="2" tint="-9.9948118533890809E-2"/>
        </patternFill>
      </fill>
    </dxf>
    <dxf>
      <font>
        <b val="0"/>
        <i val="0"/>
      </font>
      <fill>
        <patternFill>
          <bgColor theme="2" tint="-9.9948118533890809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image" Target="../media/image5.jpeg"/><Relationship Id="rId1" Type="http://schemas.openxmlformats.org/officeDocument/2006/relationships/image" Target="../media/image4.png"/><Relationship Id="rId5" Type="http://schemas.openxmlformats.org/officeDocument/2006/relationships/image" Target="../media/image8.jpe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jpeg"/><Relationship Id="rId1" Type="http://schemas.openxmlformats.org/officeDocument/2006/relationships/image" Target="../media/image5.jpeg"/><Relationship Id="rId4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0</xdr:row>
          <xdr:rowOff>47625</xdr:rowOff>
        </xdr:from>
        <xdr:to>
          <xdr:col>19</xdr:col>
          <xdr:colOff>9525</xdr:colOff>
          <xdr:row>0</xdr:row>
          <xdr:rowOff>276225</xdr:rowOff>
        </xdr:to>
        <xdr:sp macro="" textlink="">
          <xdr:nvSpPr>
            <xdr:cNvPr id="18433" name="ComboCalendario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</xdr:colOff>
          <xdr:row>1</xdr:row>
          <xdr:rowOff>66675</xdr:rowOff>
        </xdr:from>
        <xdr:to>
          <xdr:col>14</xdr:col>
          <xdr:colOff>685800</xdr:colOff>
          <xdr:row>2</xdr:row>
          <xdr:rowOff>133350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0</xdr:row>
          <xdr:rowOff>47625</xdr:rowOff>
        </xdr:from>
        <xdr:to>
          <xdr:col>19</xdr:col>
          <xdr:colOff>9525</xdr:colOff>
          <xdr:row>0</xdr:row>
          <xdr:rowOff>276225</xdr:rowOff>
        </xdr:to>
        <xdr:sp macro="" textlink="">
          <xdr:nvSpPr>
            <xdr:cNvPr id="13317" name="ComboCalendario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7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</xdr:colOff>
          <xdr:row>1</xdr:row>
          <xdr:rowOff>66675</xdr:rowOff>
        </xdr:from>
        <xdr:to>
          <xdr:col>14</xdr:col>
          <xdr:colOff>685800</xdr:colOff>
          <xdr:row>2</xdr:row>
          <xdr:rowOff>133350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7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964406</xdr:colOff>
      <xdr:row>29</xdr:row>
      <xdr:rowOff>47625</xdr:rowOff>
    </xdr:from>
    <xdr:to>
      <xdr:col>2</xdr:col>
      <xdr:colOff>1855566</xdr:colOff>
      <xdr:row>29</xdr:row>
      <xdr:rowOff>492672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6481" y="7762875"/>
          <a:ext cx="2205610" cy="445047"/>
        </a:xfrm>
        <a:prstGeom prst="rect">
          <a:avLst/>
        </a:prstGeom>
      </xdr:spPr>
    </xdr:pic>
    <xdr:clientData/>
  </xdr:twoCellAnchor>
  <xdr:twoCellAnchor editAs="oneCell">
    <xdr:from>
      <xdr:col>1</xdr:col>
      <xdr:colOff>547687</xdr:colOff>
      <xdr:row>54</xdr:row>
      <xdr:rowOff>95250</xdr:rowOff>
    </xdr:from>
    <xdr:to>
      <xdr:col>2</xdr:col>
      <xdr:colOff>1438847</xdr:colOff>
      <xdr:row>54</xdr:row>
      <xdr:rowOff>540297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9762" y="13287375"/>
          <a:ext cx="2205610" cy="445047"/>
        </a:xfrm>
        <a:prstGeom prst="rect">
          <a:avLst/>
        </a:prstGeom>
      </xdr:spPr>
    </xdr:pic>
    <xdr:clientData/>
  </xdr:twoCellAnchor>
  <xdr:twoCellAnchor editAs="oneCell">
    <xdr:from>
      <xdr:col>1</xdr:col>
      <xdr:colOff>726282</xdr:colOff>
      <xdr:row>79</xdr:row>
      <xdr:rowOff>11907</xdr:rowOff>
    </xdr:from>
    <xdr:to>
      <xdr:col>2</xdr:col>
      <xdr:colOff>1512094</xdr:colOff>
      <xdr:row>80</xdr:row>
      <xdr:rowOff>224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8357" y="18633282"/>
          <a:ext cx="2100262" cy="426466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476251</xdr:colOff>
      <xdr:row>107</xdr:row>
      <xdr:rowOff>23812</xdr:rowOff>
    </xdr:from>
    <xdr:to>
      <xdr:col>2</xdr:col>
      <xdr:colOff>1381126</xdr:colOff>
      <xdr:row>107</xdr:row>
      <xdr:rowOff>416718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8326" y="24550687"/>
          <a:ext cx="2219325" cy="392906"/>
        </a:xfrm>
        <a:prstGeom prst="rect">
          <a:avLst/>
        </a:prstGeom>
      </xdr:spPr>
    </xdr:pic>
    <xdr:clientData/>
  </xdr:twoCellAnchor>
  <xdr:twoCellAnchor editAs="oneCell">
    <xdr:from>
      <xdr:col>1</xdr:col>
      <xdr:colOff>333375</xdr:colOff>
      <xdr:row>130</xdr:row>
      <xdr:rowOff>47626</xdr:rowOff>
    </xdr:from>
    <xdr:to>
      <xdr:col>2</xdr:col>
      <xdr:colOff>1224535</xdr:colOff>
      <xdr:row>130</xdr:row>
      <xdr:rowOff>440532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" y="30565726"/>
          <a:ext cx="2205610" cy="392906"/>
        </a:xfrm>
        <a:prstGeom prst="rect">
          <a:avLst/>
        </a:prstGeom>
      </xdr:spPr>
    </xdr:pic>
    <xdr:clientData/>
  </xdr:twoCellAnchor>
  <xdr:twoCellAnchor editAs="oneCell">
    <xdr:from>
      <xdr:col>1</xdr:col>
      <xdr:colOff>297656</xdr:colOff>
      <xdr:row>149</xdr:row>
      <xdr:rowOff>35720</xdr:rowOff>
    </xdr:from>
    <xdr:to>
      <xdr:col>2</xdr:col>
      <xdr:colOff>1188816</xdr:colOff>
      <xdr:row>149</xdr:row>
      <xdr:rowOff>452438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9731" y="35049620"/>
          <a:ext cx="2205610" cy="416718"/>
        </a:xfrm>
        <a:prstGeom prst="rect">
          <a:avLst/>
        </a:prstGeom>
      </xdr:spPr>
    </xdr:pic>
    <xdr:clientData/>
  </xdr:twoCellAnchor>
  <xdr:twoCellAnchor editAs="oneCell">
    <xdr:from>
      <xdr:col>1</xdr:col>
      <xdr:colOff>226218</xdr:colOff>
      <xdr:row>175</xdr:row>
      <xdr:rowOff>59531</xdr:rowOff>
    </xdr:from>
    <xdr:to>
      <xdr:col>2</xdr:col>
      <xdr:colOff>1117378</xdr:colOff>
      <xdr:row>175</xdr:row>
      <xdr:rowOff>452437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88293" y="40778906"/>
          <a:ext cx="2205610" cy="392906"/>
        </a:xfrm>
        <a:prstGeom prst="rect">
          <a:avLst/>
        </a:prstGeom>
      </xdr:spPr>
    </xdr:pic>
    <xdr:clientData/>
  </xdr:twoCellAnchor>
  <xdr:twoCellAnchor editAs="oneCell">
    <xdr:from>
      <xdr:col>1</xdr:col>
      <xdr:colOff>369094</xdr:colOff>
      <xdr:row>203</xdr:row>
      <xdr:rowOff>47625</xdr:rowOff>
    </xdr:from>
    <xdr:to>
      <xdr:col>2</xdr:col>
      <xdr:colOff>1260254</xdr:colOff>
      <xdr:row>204</xdr:row>
      <xdr:rowOff>1600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1169" y="46767750"/>
          <a:ext cx="2205610" cy="3921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226</xdr:row>
      <xdr:rowOff>35719</xdr:rowOff>
    </xdr:from>
    <xdr:to>
      <xdr:col>2</xdr:col>
      <xdr:colOff>1176910</xdr:colOff>
      <xdr:row>226</xdr:row>
      <xdr:rowOff>404812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7825" y="51651694"/>
          <a:ext cx="2205610" cy="369093"/>
        </a:xfrm>
        <a:prstGeom prst="rect">
          <a:avLst/>
        </a:prstGeom>
      </xdr:spPr>
    </xdr:pic>
    <xdr:clientData/>
  </xdr:twoCellAnchor>
  <xdr:twoCellAnchor editAs="oneCell">
    <xdr:from>
      <xdr:col>1</xdr:col>
      <xdr:colOff>690562</xdr:colOff>
      <xdr:row>254</xdr:row>
      <xdr:rowOff>47625</xdr:rowOff>
    </xdr:from>
    <xdr:to>
      <xdr:col>2</xdr:col>
      <xdr:colOff>1581722</xdr:colOff>
      <xdr:row>254</xdr:row>
      <xdr:rowOff>345281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637" y="57711975"/>
          <a:ext cx="2205610" cy="297656"/>
        </a:xfrm>
        <a:prstGeom prst="rect">
          <a:avLst/>
        </a:prstGeom>
      </xdr:spPr>
    </xdr:pic>
    <xdr:clientData/>
  </xdr:twoCellAnchor>
  <xdr:twoCellAnchor editAs="oneCell">
    <xdr:from>
      <xdr:col>1</xdr:col>
      <xdr:colOff>250031</xdr:colOff>
      <xdr:row>283</xdr:row>
      <xdr:rowOff>23813</xdr:rowOff>
    </xdr:from>
    <xdr:to>
      <xdr:col>2</xdr:col>
      <xdr:colOff>1141191</xdr:colOff>
      <xdr:row>283</xdr:row>
      <xdr:rowOff>357187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2106" y="63774638"/>
          <a:ext cx="2205610" cy="333374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302</xdr:row>
      <xdr:rowOff>35720</xdr:rowOff>
    </xdr:from>
    <xdr:to>
      <xdr:col>2</xdr:col>
      <xdr:colOff>1272160</xdr:colOff>
      <xdr:row>302</xdr:row>
      <xdr:rowOff>404814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3075" y="68730020"/>
          <a:ext cx="2205610" cy="369094"/>
        </a:xfrm>
        <a:prstGeom prst="rect">
          <a:avLst/>
        </a:prstGeom>
      </xdr:spPr>
    </xdr:pic>
    <xdr:clientData/>
  </xdr:twoCellAnchor>
  <xdr:twoCellAnchor editAs="oneCell">
    <xdr:from>
      <xdr:col>1</xdr:col>
      <xdr:colOff>488155</xdr:colOff>
      <xdr:row>328</xdr:row>
      <xdr:rowOff>23814</xdr:rowOff>
    </xdr:from>
    <xdr:to>
      <xdr:col>2</xdr:col>
      <xdr:colOff>1379315</xdr:colOff>
      <xdr:row>328</xdr:row>
      <xdr:rowOff>369094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0230" y="74223564"/>
          <a:ext cx="2205610" cy="345280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380999</xdr:colOff>
      <xdr:row>354</xdr:row>
      <xdr:rowOff>23812</xdr:rowOff>
    </xdr:from>
    <xdr:to>
      <xdr:col>2</xdr:col>
      <xdr:colOff>1272159</xdr:colOff>
      <xdr:row>354</xdr:row>
      <xdr:rowOff>369093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3074" y="79757587"/>
          <a:ext cx="2205610" cy="345281"/>
        </a:xfrm>
        <a:prstGeom prst="rect">
          <a:avLst/>
        </a:prstGeom>
      </xdr:spPr>
    </xdr:pic>
    <xdr:clientData/>
  </xdr:twoCellAnchor>
  <xdr:twoCellAnchor editAs="oneCell">
    <xdr:from>
      <xdr:col>1</xdr:col>
      <xdr:colOff>333375</xdr:colOff>
      <xdr:row>381</xdr:row>
      <xdr:rowOff>35719</xdr:rowOff>
    </xdr:from>
    <xdr:to>
      <xdr:col>2</xdr:col>
      <xdr:colOff>1224535</xdr:colOff>
      <xdr:row>381</xdr:row>
      <xdr:rowOff>381000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" y="85303519"/>
          <a:ext cx="2205610" cy="345281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380999</xdr:colOff>
      <xdr:row>404</xdr:row>
      <xdr:rowOff>47626</xdr:rowOff>
    </xdr:from>
    <xdr:to>
      <xdr:col>2</xdr:col>
      <xdr:colOff>1272159</xdr:colOff>
      <xdr:row>404</xdr:row>
      <xdr:rowOff>345282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3074" y="90497026"/>
          <a:ext cx="2205610" cy="297656"/>
        </a:xfrm>
        <a:prstGeom prst="rect">
          <a:avLst/>
        </a:prstGeom>
      </xdr:spPr>
    </xdr:pic>
    <xdr:clientData/>
  </xdr:twoCellAnchor>
  <xdr:twoCellAnchor editAs="oneCell">
    <xdr:from>
      <xdr:col>1</xdr:col>
      <xdr:colOff>1035843</xdr:colOff>
      <xdr:row>431</xdr:row>
      <xdr:rowOff>11906</xdr:rowOff>
    </xdr:from>
    <xdr:to>
      <xdr:col>2</xdr:col>
      <xdr:colOff>1927003</xdr:colOff>
      <xdr:row>431</xdr:row>
      <xdr:rowOff>369093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7918" y="96147731"/>
          <a:ext cx="2205610" cy="357187"/>
        </a:xfrm>
        <a:prstGeom prst="rect">
          <a:avLst/>
        </a:prstGeom>
      </xdr:spPr>
    </xdr:pic>
    <xdr:clientData/>
  </xdr:twoCellAnchor>
  <xdr:twoCellAnchor editAs="oneCell">
    <xdr:from>
      <xdr:col>1</xdr:col>
      <xdr:colOff>309562</xdr:colOff>
      <xdr:row>456</xdr:row>
      <xdr:rowOff>23813</xdr:rowOff>
    </xdr:from>
    <xdr:to>
      <xdr:col>2</xdr:col>
      <xdr:colOff>1200722</xdr:colOff>
      <xdr:row>456</xdr:row>
      <xdr:rowOff>428626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71637" y="102122288"/>
          <a:ext cx="2205610" cy="404813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481</xdr:row>
      <xdr:rowOff>47626</xdr:rowOff>
    </xdr:from>
    <xdr:to>
      <xdr:col>2</xdr:col>
      <xdr:colOff>1272160</xdr:colOff>
      <xdr:row>482</xdr:row>
      <xdr:rowOff>4761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3075" y="107680126"/>
          <a:ext cx="2205610" cy="357185"/>
        </a:xfrm>
        <a:prstGeom prst="rect">
          <a:avLst/>
        </a:prstGeom>
      </xdr:spPr>
    </xdr:pic>
    <xdr:clientData/>
  </xdr:twoCellAnchor>
  <xdr:twoCellAnchor editAs="oneCell">
    <xdr:from>
      <xdr:col>1</xdr:col>
      <xdr:colOff>631032</xdr:colOff>
      <xdr:row>506</xdr:row>
      <xdr:rowOff>23812</xdr:rowOff>
    </xdr:from>
    <xdr:to>
      <xdr:col>2</xdr:col>
      <xdr:colOff>1522192</xdr:colOff>
      <xdr:row>506</xdr:row>
      <xdr:rowOff>440531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3107" y="113171287"/>
          <a:ext cx="2205610" cy="416719"/>
        </a:xfrm>
        <a:prstGeom prst="rect">
          <a:avLst/>
        </a:prstGeom>
      </xdr:spPr>
    </xdr:pic>
    <xdr:clientData/>
  </xdr:twoCellAnchor>
  <xdr:twoCellAnchor editAs="oneCell">
    <xdr:from>
      <xdr:col>0</xdr:col>
      <xdr:colOff>68035</xdr:colOff>
      <xdr:row>0</xdr:row>
      <xdr:rowOff>340179</xdr:rowOff>
    </xdr:from>
    <xdr:to>
      <xdr:col>1</xdr:col>
      <xdr:colOff>298903</xdr:colOff>
      <xdr:row>0</xdr:row>
      <xdr:rowOff>1211036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35" y="340179"/>
          <a:ext cx="1592943" cy="87085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480291</xdr:colOff>
      <xdr:row>0</xdr:row>
      <xdr:rowOff>378320</xdr:rowOff>
    </xdr:from>
    <xdr:to>
      <xdr:col>5</xdr:col>
      <xdr:colOff>217715</xdr:colOff>
      <xdr:row>0</xdr:row>
      <xdr:rowOff>1265465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2366" y="378320"/>
          <a:ext cx="5547674" cy="887145"/>
        </a:xfrm>
        <a:prstGeom prst="rect">
          <a:avLst/>
        </a:prstGeom>
      </xdr:spPr>
    </xdr:pic>
    <xdr:clientData/>
  </xdr:twoCellAnchor>
  <xdr:twoCellAnchor>
    <xdr:from>
      <xdr:col>5</xdr:col>
      <xdr:colOff>349251</xdr:colOff>
      <xdr:row>0</xdr:row>
      <xdr:rowOff>270701</xdr:rowOff>
    </xdr:from>
    <xdr:to>
      <xdr:col>7</xdr:col>
      <xdr:colOff>306162</xdr:colOff>
      <xdr:row>0</xdr:row>
      <xdr:rowOff>1281793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/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1576" y="270701"/>
          <a:ext cx="1414236" cy="1011092"/>
        </a:xfrm>
        <a:prstGeom prst="rect">
          <a:avLst/>
        </a:prstGeom>
      </xdr:spPr>
    </xdr:pic>
    <xdr:clientData/>
  </xdr:twoCellAnchor>
  <xdr:twoCellAnchor editAs="oneCell">
    <xdr:from>
      <xdr:col>7</xdr:col>
      <xdr:colOff>527626</xdr:colOff>
      <xdr:row>0</xdr:row>
      <xdr:rowOff>288017</xdr:rowOff>
    </xdr:from>
    <xdr:to>
      <xdr:col>11</xdr:col>
      <xdr:colOff>610960</xdr:colOff>
      <xdr:row>0</xdr:row>
      <xdr:rowOff>1348921</xdr:rowOff>
    </xdr:to>
    <xdr:pic>
      <xdr:nvPicPr>
        <xdr:cNvPr id="25" name="Marcador de contenido 3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250" t="31316" r="5528"/>
        <a:stretch>
          <a:fillRect/>
        </a:stretch>
      </xdr:blipFill>
      <xdr:spPr bwMode="auto">
        <a:xfrm>
          <a:off x="9157276" y="288017"/>
          <a:ext cx="2731284" cy="1060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953300</xdr:colOff>
      <xdr:row>0</xdr:row>
      <xdr:rowOff>239327</xdr:rowOff>
    </xdr:from>
    <xdr:to>
      <xdr:col>2</xdr:col>
      <xdr:colOff>2551286</xdr:colOff>
      <xdr:row>0</xdr:row>
      <xdr:rowOff>1110184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94124" y="239327"/>
          <a:ext cx="1597986" cy="87085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</xdr:col>
      <xdr:colOff>2846295</xdr:colOff>
      <xdr:row>0</xdr:row>
      <xdr:rowOff>380999</xdr:rowOff>
    </xdr:from>
    <xdr:to>
      <xdr:col>6</xdr:col>
      <xdr:colOff>665952</xdr:colOff>
      <xdr:row>0</xdr:row>
      <xdr:rowOff>1086170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7119" y="380999"/>
          <a:ext cx="2918333" cy="705171"/>
        </a:xfrm>
        <a:prstGeom prst="rect">
          <a:avLst/>
        </a:prstGeom>
      </xdr:spPr>
    </xdr:pic>
    <xdr:clientData/>
  </xdr:twoCellAnchor>
  <xdr:twoCellAnchor>
    <xdr:from>
      <xdr:col>6</xdr:col>
      <xdr:colOff>719045</xdr:colOff>
      <xdr:row>0</xdr:row>
      <xdr:rowOff>403411</xdr:rowOff>
    </xdr:from>
    <xdr:to>
      <xdr:col>8</xdr:col>
      <xdr:colOff>474251</xdr:colOff>
      <xdr:row>0</xdr:row>
      <xdr:rowOff>1057675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/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8545" y="403411"/>
          <a:ext cx="1424882" cy="654264"/>
        </a:xfrm>
        <a:prstGeom prst="rect">
          <a:avLst/>
        </a:prstGeom>
      </xdr:spPr>
    </xdr:pic>
    <xdr:clientData/>
  </xdr:twoCellAnchor>
  <xdr:twoCellAnchor editAs="oneCell">
    <xdr:from>
      <xdr:col>8</xdr:col>
      <xdr:colOff>459442</xdr:colOff>
      <xdr:row>0</xdr:row>
      <xdr:rowOff>336177</xdr:rowOff>
    </xdr:from>
    <xdr:to>
      <xdr:col>11</xdr:col>
      <xdr:colOff>633374</xdr:colOff>
      <xdr:row>0</xdr:row>
      <xdr:rowOff>1042148</xdr:rowOff>
    </xdr:to>
    <xdr:pic>
      <xdr:nvPicPr>
        <xdr:cNvPr id="25" name="Marcador de contenido 3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250" t="31316" r="5528"/>
        <a:stretch>
          <a:fillRect/>
        </a:stretch>
      </xdr:blipFill>
      <xdr:spPr bwMode="auto">
        <a:xfrm>
          <a:off x="13368618" y="336177"/>
          <a:ext cx="2022902" cy="7059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714375</xdr:colOff>
          <xdr:row>0</xdr:row>
          <xdr:rowOff>628650</xdr:rowOff>
        </xdr:to>
        <xdr:sp macro="" textlink="">
          <xdr:nvSpPr>
            <xdr:cNvPr id="11265" name="Group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Seleccione Minuta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228600</xdr:rowOff>
        </xdr:from>
        <xdr:to>
          <xdr:col>2</xdr:col>
          <xdr:colOff>647700</xdr:colOff>
          <xdr:row>0</xdr:row>
          <xdr:rowOff>504825</xdr:rowOff>
        </xdr:to>
        <xdr:sp macro="" textlink="">
          <xdr:nvSpPr>
            <xdr:cNvPr id="11267" name="ComboMinuta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A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266700</xdr:rowOff>
        </xdr:from>
        <xdr:to>
          <xdr:col>0</xdr:col>
          <xdr:colOff>685800</xdr:colOff>
          <xdr:row>0</xdr:row>
          <xdr:rowOff>485775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A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695325</xdr:rowOff>
        </xdr:from>
        <xdr:to>
          <xdr:col>1</xdr:col>
          <xdr:colOff>466725</xdr:colOff>
          <xdr:row>0</xdr:row>
          <xdr:rowOff>1457325</xdr:rowOff>
        </xdr:to>
        <xdr:sp macro="" textlink="">
          <xdr:nvSpPr>
            <xdr:cNvPr id="11269" name="Group Box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0</xdr:row>
          <xdr:rowOff>876300</xdr:rowOff>
        </xdr:from>
        <xdr:to>
          <xdr:col>2</xdr:col>
          <xdr:colOff>104775</xdr:colOff>
          <xdr:row>0</xdr:row>
          <xdr:rowOff>1314450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A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0</xdr:row>
          <xdr:rowOff>257175</xdr:rowOff>
        </xdr:from>
        <xdr:to>
          <xdr:col>0</xdr:col>
          <xdr:colOff>1304925</xdr:colOff>
          <xdr:row>0</xdr:row>
          <xdr:rowOff>476250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A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819150</xdr:rowOff>
        </xdr:from>
        <xdr:to>
          <xdr:col>2</xdr:col>
          <xdr:colOff>581025</xdr:colOff>
          <xdr:row>0</xdr:row>
          <xdr:rowOff>1038225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A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1133475</xdr:rowOff>
        </xdr:from>
        <xdr:to>
          <xdr:col>2</xdr:col>
          <xdr:colOff>581025</xdr:colOff>
          <xdr:row>0</xdr:row>
          <xdr:rowOff>1352550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A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800100</xdr:rowOff>
        </xdr:from>
        <xdr:to>
          <xdr:col>1</xdr:col>
          <xdr:colOff>190500</xdr:colOff>
          <xdr:row>0</xdr:row>
          <xdr:rowOff>1076325</xdr:rowOff>
        </xdr:to>
        <xdr:sp macro="" textlink="">
          <xdr:nvSpPr>
            <xdr:cNvPr id="11276" name="ComboTiempo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A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1123950</xdr:rowOff>
        </xdr:from>
        <xdr:to>
          <xdr:col>0</xdr:col>
          <xdr:colOff>1285875</xdr:colOff>
          <xdr:row>0</xdr:row>
          <xdr:rowOff>1400175</xdr:rowOff>
        </xdr:to>
        <xdr:sp macro="" textlink="">
          <xdr:nvSpPr>
            <xdr:cNvPr id="11277" name="ComboMenu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A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0</xdr:row>
          <xdr:rowOff>704850</xdr:rowOff>
        </xdr:from>
        <xdr:to>
          <xdr:col>2</xdr:col>
          <xdr:colOff>714375</xdr:colOff>
          <xdr:row>0</xdr:row>
          <xdr:rowOff>1466850</xdr:rowOff>
        </xdr:to>
        <xdr:sp macro="" textlink="">
          <xdr:nvSpPr>
            <xdr:cNvPr id="11278" name="Group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A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Accion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28575</xdr:rowOff>
        </xdr:from>
        <xdr:to>
          <xdr:col>1</xdr:col>
          <xdr:colOff>723900</xdr:colOff>
          <xdr:row>2</xdr:row>
          <xdr:rowOff>142875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E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grid/Downloads/F6.G6.PP%20Formato%20Lista%20de%20Mercado%20v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sers\Consejo_admin\AppData\Local\Microsoft\Windows\Temporary%20Internet%20Files\Low\Content.IE5\JI688V4S\ANALISIS%20QUIMICO%20NV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FORMATO LISTA DE MERCADO"/>
      <sheetName val="PRODUCTOS"/>
      <sheetName val="ZONA GEOGRAFICA"/>
      <sheetName val="DIRRECCIONES Y PROGRAMAS"/>
    </sheetNames>
    <sheetDataSet>
      <sheetData sheetId="0"/>
      <sheetData sheetId="1"/>
      <sheetData sheetId="2">
        <row r="3">
          <cell r="A3" t="str">
            <v>VERDURAS_Y_HORTALIZAS</v>
          </cell>
        </row>
        <row r="4">
          <cell r="A4" t="str">
            <v>FRUTAS_Y_DERIVADOS</v>
          </cell>
        </row>
        <row r="5">
          <cell r="A5" t="str">
            <v>GRASAS_Y_ACEITES</v>
          </cell>
        </row>
        <row r="6">
          <cell r="A6" t="str">
            <v>CEREALES</v>
          </cell>
        </row>
        <row r="7">
          <cell r="A7" t="str">
            <v>PESCADOS_Y_MARISCOS</v>
          </cell>
        </row>
        <row r="8">
          <cell r="A8" t="str">
            <v>CARNES_Y_DERIVADOS</v>
          </cell>
        </row>
        <row r="9">
          <cell r="A9" t="str">
            <v>LECHE_Y_DERIVADOS</v>
          </cell>
        </row>
        <row r="10">
          <cell r="A10" t="str">
            <v>HUEVOS</v>
          </cell>
        </row>
        <row r="11">
          <cell r="A11" t="str">
            <v>PRODUCTOS_AZUCARADOS</v>
          </cell>
        </row>
        <row r="12">
          <cell r="A12" t="str">
            <v>MISCELÁNEOS</v>
          </cell>
        </row>
        <row r="13">
          <cell r="A13" t="str">
            <v>ALIMENTOS_NATIVOS</v>
          </cell>
        </row>
        <row r="14">
          <cell r="A14" t="str">
            <v>ALIMENTOS_INFANTILES</v>
          </cell>
        </row>
        <row r="15">
          <cell r="A15" t="str">
            <v>ALIMENTOS_MANUFACTURADOS</v>
          </cell>
        </row>
        <row r="16">
          <cell r="A16" t="str">
            <v>LEGUMINOSAS_Y_DERIVADOS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CAC"/>
      <sheetName val="1 Análisis 3-5"/>
      <sheetName val="2 Análisis 3-5"/>
      <sheetName val="Impresion"/>
      <sheetName val="desayuno 3 - 5"/>
      <sheetName val="3 Análisis 3-5"/>
      <sheetName val="Alimentos"/>
      <sheetName val="Animal-Vegetal"/>
      <sheetName val="Recomendaciones"/>
      <sheetName val="2"/>
    </sheetNames>
    <sheetDataSet>
      <sheetData sheetId="0" refreshError="1">
        <row r="6">
          <cell r="A6">
            <v>3</v>
          </cell>
          <cell r="C6" t="str">
            <v>Arepa</v>
          </cell>
          <cell r="D6" t="str">
            <v>Con queso</v>
          </cell>
          <cell r="H6" t="str">
            <v>Mezclado</v>
          </cell>
          <cell r="I6" t="str">
            <v>Amasado</v>
          </cell>
          <cell r="J6" t="str">
            <v>Cocido</v>
          </cell>
          <cell r="P6" t="str">
            <v>Industria</v>
          </cell>
          <cell r="Q6" t="str">
            <v>Muestra comercial</v>
          </cell>
          <cell r="R6" t="str">
            <v>Arepa con queso</v>
          </cell>
          <cell r="S6">
            <v>57.3</v>
          </cell>
          <cell r="T6">
            <v>0.4</v>
          </cell>
          <cell r="U6" t="str">
            <v>b</v>
          </cell>
        </row>
        <row r="7">
          <cell r="A7">
            <v>4</v>
          </cell>
          <cell r="B7" t="str">
            <v>Arepa de maíz</v>
          </cell>
          <cell r="C7" t="str">
            <v>Arepa</v>
          </cell>
          <cell r="D7" t="str">
            <v>Maíz</v>
          </cell>
          <cell r="H7" t="str">
            <v>Cocido</v>
          </cell>
          <cell r="I7" t="str">
            <v xml:space="preserve"> Molido</v>
          </cell>
          <cell r="J7" t="str">
            <v>Amasado</v>
          </cell>
          <cell r="K7" t="str">
            <v>Asado</v>
          </cell>
          <cell r="P7" t="str">
            <v>6</v>
          </cell>
          <cell r="Q7" t="str">
            <v>Muestra comercial</v>
          </cell>
          <cell r="R7" t="str">
            <v>Arepa de maíz</v>
          </cell>
          <cell r="S7">
            <v>59.5</v>
          </cell>
          <cell r="U7" t="str">
            <v>c</v>
          </cell>
        </row>
        <row r="8">
          <cell r="A8">
            <v>5</v>
          </cell>
          <cell r="B8" t="str">
            <v>Arepa de maíz amarillo</v>
          </cell>
          <cell r="C8" t="str">
            <v>Arepa</v>
          </cell>
          <cell r="D8" t="str">
            <v>Maíz amarillo</v>
          </cell>
          <cell r="H8" t="str">
            <v>Cocido</v>
          </cell>
          <cell r="I8" t="str">
            <v>Molido</v>
          </cell>
          <cell r="J8" t="str">
            <v>Amasado</v>
          </cell>
          <cell r="K8" t="str">
            <v>Asado</v>
          </cell>
          <cell r="P8" t="str">
            <v>232</v>
          </cell>
          <cell r="Q8" t="str">
            <v>No reporta</v>
          </cell>
          <cell r="R8" t="str">
            <v>Arepa de maíz amarillo</v>
          </cell>
          <cell r="S8">
            <v>62.5</v>
          </cell>
          <cell r="U8" t="str">
            <v>d</v>
          </cell>
        </row>
        <row r="9">
          <cell r="A9">
            <v>6</v>
          </cell>
          <cell r="B9" t="str">
            <v>Arepa de maíz blanco trillado</v>
          </cell>
          <cell r="C9" t="str">
            <v>Arepa</v>
          </cell>
          <cell r="D9" t="str">
            <v>Plana delgada</v>
          </cell>
          <cell r="H9" t="str">
            <v>Cocido</v>
          </cell>
          <cell r="I9" t="str">
            <v>Molido</v>
          </cell>
          <cell r="J9" t="str">
            <v>Amasado</v>
          </cell>
          <cell r="K9" t="str">
            <v>Asado</v>
          </cell>
          <cell r="P9" t="str">
            <v>232</v>
          </cell>
          <cell r="Q9" t="str">
            <v>No reporta</v>
          </cell>
          <cell r="R9" t="str">
            <v>Arepa de maíz blanco trillado</v>
          </cell>
          <cell r="S9">
            <v>54.8</v>
          </cell>
          <cell r="U9" t="str">
            <v>c</v>
          </cell>
        </row>
        <row r="10">
          <cell r="A10">
            <v>7</v>
          </cell>
          <cell r="B10" t="str">
            <v>Arepa de maíz blanco trillado</v>
          </cell>
          <cell r="C10" t="str">
            <v>Arepa</v>
          </cell>
          <cell r="D10" t="str">
            <v>Plana semigruesa</v>
          </cell>
          <cell r="H10" t="str">
            <v>Cocido</v>
          </cell>
          <cell r="I10" t="str">
            <v>Molido</v>
          </cell>
          <cell r="J10" t="str">
            <v>Amasado</v>
          </cell>
          <cell r="K10" t="str">
            <v>Asado</v>
          </cell>
          <cell r="P10" t="str">
            <v>232</v>
          </cell>
          <cell r="Q10" t="str">
            <v>No reporta</v>
          </cell>
          <cell r="R10" t="str">
            <v>Arepa de maíz blanco trillado</v>
          </cell>
          <cell r="S10">
            <v>64.099999999999994</v>
          </cell>
          <cell r="U10" t="str">
            <v>c</v>
          </cell>
        </row>
        <row r="11">
          <cell r="A11">
            <v>9</v>
          </cell>
          <cell r="B11" t="str">
            <v>Arepa redonda</v>
          </cell>
          <cell r="C11" t="str">
            <v>Arepa</v>
          </cell>
          <cell r="D11" t="str">
            <v>Redonda</v>
          </cell>
          <cell r="H11" t="str">
            <v>Cocido</v>
          </cell>
          <cell r="I11" t="str">
            <v>Molido</v>
          </cell>
          <cell r="J11" t="str">
            <v>Amasado</v>
          </cell>
          <cell r="K11" t="str">
            <v>Asado</v>
          </cell>
          <cell r="P11" t="str">
            <v>232</v>
          </cell>
          <cell r="Q11" t="str">
            <v>No reporta</v>
          </cell>
          <cell r="R11" t="str">
            <v>Arepa redonda</v>
          </cell>
          <cell r="S11">
            <v>57.5</v>
          </cell>
          <cell r="U11" t="str">
            <v>c</v>
          </cell>
        </row>
        <row r="12">
          <cell r="A12">
            <v>10</v>
          </cell>
          <cell r="B12" t="str">
            <v>Arroz</v>
          </cell>
          <cell r="C12" t="str">
            <v>Arroz</v>
          </cell>
          <cell r="D12" t="str">
            <v>Blanco</v>
          </cell>
          <cell r="F12" t="str">
            <v>Grano</v>
          </cell>
          <cell r="H12" t="str">
            <v>Descascarillado</v>
          </cell>
          <cell r="I12" t="str">
            <v>Pulido</v>
          </cell>
          <cell r="M12" t="str">
            <v>Oryza</v>
          </cell>
          <cell r="N12" t="str">
            <v>sativa</v>
          </cell>
          <cell r="P12" t="str">
            <v>135, 251, 232</v>
          </cell>
          <cell r="Q12" t="str">
            <v>Muestra comercial</v>
          </cell>
          <cell r="R12" t="str">
            <v>Arroz</v>
          </cell>
          <cell r="S12">
            <v>12.3</v>
          </cell>
          <cell r="T12">
            <v>0.2</v>
          </cell>
          <cell r="U12" t="str">
            <v>b</v>
          </cell>
        </row>
        <row r="13">
          <cell r="A13">
            <v>11</v>
          </cell>
          <cell r="B13" t="str">
            <v>Arroz de leche</v>
          </cell>
          <cell r="C13" t="str">
            <v>Arroz</v>
          </cell>
          <cell r="D13" t="str">
            <v>De leche</v>
          </cell>
          <cell r="H13" t="str">
            <v>Mezclado</v>
          </cell>
          <cell r="I13" t="str">
            <v>Cocido</v>
          </cell>
          <cell r="P13" t="str">
            <v>232</v>
          </cell>
          <cell r="Q13" t="str">
            <v>No reporta</v>
          </cell>
          <cell r="R13" t="str">
            <v>Arroz de leche</v>
          </cell>
          <cell r="S13">
            <v>82</v>
          </cell>
          <cell r="U13" t="str">
            <v>d</v>
          </cell>
        </row>
        <row r="14">
          <cell r="A14">
            <v>14</v>
          </cell>
          <cell r="B14" t="str">
            <v>Avena importada</v>
          </cell>
          <cell r="C14" t="str">
            <v>Avena</v>
          </cell>
          <cell r="D14" t="str">
            <v>Importada</v>
          </cell>
          <cell r="F14" t="str">
            <v>Grano entero</v>
          </cell>
          <cell r="H14" t="str">
            <v>Limpieza</v>
          </cell>
          <cell r="I14" t="str">
            <v>Aplastado</v>
          </cell>
          <cell r="M14" t="str">
            <v>Avena</v>
          </cell>
          <cell r="N14" t="str">
            <v>sativa L,</v>
          </cell>
          <cell r="P14" t="str">
            <v>232, 148, 251</v>
          </cell>
          <cell r="Q14" t="str">
            <v>No reporta</v>
          </cell>
          <cell r="R14" t="str">
            <v>Avena importada</v>
          </cell>
          <cell r="S14">
            <v>8.3000000000000007</v>
          </cell>
          <cell r="T14">
            <v>1</v>
          </cell>
          <cell r="U14" t="str">
            <v>c</v>
          </cell>
        </row>
        <row r="15">
          <cell r="A15">
            <v>15</v>
          </cell>
          <cell r="B15" t="str">
            <v>Avena nacional</v>
          </cell>
          <cell r="C15" t="str">
            <v>Avena</v>
          </cell>
          <cell r="D15" t="str">
            <v>Nacional</v>
          </cell>
          <cell r="F15" t="str">
            <v>Grano entero</v>
          </cell>
          <cell r="H15" t="str">
            <v>Limpieza</v>
          </cell>
          <cell r="I15" t="str">
            <v>Aplastado</v>
          </cell>
          <cell r="M15" t="str">
            <v>Avena</v>
          </cell>
          <cell r="N15" t="str">
            <v>sativa L,</v>
          </cell>
          <cell r="P15" t="str">
            <v>232</v>
          </cell>
          <cell r="Q15" t="str">
            <v>No reporta</v>
          </cell>
          <cell r="R15" t="str">
            <v>Avena nacional</v>
          </cell>
          <cell r="S15">
            <v>11.5</v>
          </cell>
          <cell r="U15" t="str">
            <v>c</v>
          </cell>
        </row>
        <row r="16">
          <cell r="A16">
            <v>16</v>
          </cell>
          <cell r="B16" t="str">
            <v>Avena nacional</v>
          </cell>
          <cell r="C16" t="str">
            <v>Avena</v>
          </cell>
          <cell r="D16" t="str">
            <v>Nacional</v>
          </cell>
          <cell r="F16" t="str">
            <v>Grano entero</v>
          </cell>
          <cell r="H16" t="str">
            <v>Trillado</v>
          </cell>
          <cell r="I16" t="str">
            <v>Molido</v>
          </cell>
          <cell r="J16" t="str">
            <v>Tamizado</v>
          </cell>
          <cell r="M16" t="str">
            <v>Avena</v>
          </cell>
          <cell r="N16" t="str">
            <v>sativa L,</v>
          </cell>
          <cell r="O16" t="str">
            <v>Bacatá Resel /Tibaitatá) 36-1t-1t-3t (16-8t)</v>
          </cell>
          <cell r="P16" t="str">
            <v>119</v>
          </cell>
          <cell r="Q16" t="str">
            <v>Mosquera-Cundinamarca</v>
          </cell>
          <cell r="R16" t="str">
            <v>Avena nacional</v>
          </cell>
          <cell r="S16">
            <v>13.4</v>
          </cell>
          <cell r="U16" t="str">
            <v>c</v>
          </cell>
        </row>
        <row r="17">
          <cell r="A17">
            <v>22</v>
          </cell>
          <cell r="B17" t="str">
            <v>Brownie cubierto con chocolate</v>
          </cell>
          <cell r="C17" t="str">
            <v>Brownie</v>
          </cell>
          <cell r="D17" t="str">
            <v>Chocolate</v>
          </cell>
          <cell r="H17" t="str">
            <v>Mezclado</v>
          </cell>
          <cell r="I17" t="str">
            <v>Amasado</v>
          </cell>
          <cell r="J17" t="str">
            <v>Horneado</v>
          </cell>
          <cell r="K17" t="str">
            <v>Cubierto de chocolate</v>
          </cell>
          <cell r="P17" t="str">
            <v>Industria</v>
          </cell>
          <cell r="Q17" t="str">
            <v>Muestra comercial</v>
          </cell>
          <cell r="R17" t="str">
            <v>Brownie cubierto con chocolate</v>
          </cell>
          <cell r="S17">
            <v>21.5</v>
          </cell>
          <cell r="U17" t="str">
            <v>b</v>
          </cell>
        </row>
        <row r="18">
          <cell r="A18">
            <v>24</v>
          </cell>
          <cell r="B18" t="str">
            <v>Calado mantequilla</v>
          </cell>
          <cell r="C18" t="str">
            <v>Calado</v>
          </cell>
          <cell r="D18" t="str">
            <v>Mantequilla</v>
          </cell>
          <cell r="H18" t="str">
            <v>Mezclado</v>
          </cell>
          <cell r="I18" t="str">
            <v>Amasado</v>
          </cell>
          <cell r="J18" t="str">
            <v>Horneado</v>
          </cell>
          <cell r="P18" t="str">
            <v>Industria</v>
          </cell>
          <cell r="Q18" t="str">
            <v>Muestra comercial</v>
          </cell>
          <cell r="R18" t="str">
            <v>Calado mantequilla</v>
          </cell>
          <cell r="S18">
            <v>4.7</v>
          </cell>
          <cell r="T18">
            <v>0.4</v>
          </cell>
          <cell r="U18" t="str">
            <v>a</v>
          </cell>
        </row>
        <row r="19">
          <cell r="A19">
            <v>30</v>
          </cell>
          <cell r="B19" t="str">
            <v>Cebada perlada</v>
          </cell>
          <cell r="C19" t="str">
            <v>Cebada</v>
          </cell>
          <cell r="D19" t="str">
            <v>Perlada</v>
          </cell>
          <cell r="F19" t="str">
            <v>Grano</v>
          </cell>
          <cell r="H19" t="str">
            <v>Limpieza</v>
          </cell>
          <cell r="M19" t="str">
            <v>Hordeum</v>
          </cell>
          <cell r="N19" t="str">
            <v>vulgare L,</v>
          </cell>
          <cell r="P19" t="str">
            <v>232</v>
          </cell>
          <cell r="Q19" t="str">
            <v>No reporta</v>
          </cell>
          <cell r="R19" t="str">
            <v>Cebada perlada</v>
          </cell>
          <cell r="S19">
            <v>11.4</v>
          </cell>
          <cell r="U19" t="str">
            <v>c</v>
          </cell>
        </row>
        <row r="20">
          <cell r="A20">
            <v>33</v>
          </cell>
          <cell r="B20" t="str">
            <v>Croissant</v>
          </cell>
          <cell r="C20" t="str">
            <v>Croissant</v>
          </cell>
          <cell r="F20" t="str">
            <v>Entero</v>
          </cell>
          <cell r="H20" t="str">
            <v>Mezclado</v>
          </cell>
          <cell r="I20" t="str">
            <v>Amasado</v>
          </cell>
          <cell r="J20" t="str">
            <v>Hormeado</v>
          </cell>
          <cell r="P20" t="str">
            <v>Industria</v>
          </cell>
          <cell r="Q20" t="str">
            <v>Muestra comercial</v>
          </cell>
          <cell r="R20" t="str">
            <v>Croissant</v>
          </cell>
          <cell r="S20">
            <v>17</v>
          </cell>
          <cell r="T20">
            <v>0.3</v>
          </cell>
          <cell r="U20" t="str">
            <v>a</v>
          </cell>
        </row>
        <row r="21">
          <cell r="A21">
            <v>34</v>
          </cell>
          <cell r="B21" t="str">
            <v>Cuchuco de cebada</v>
          </cell>
          <cell r="C21" t="str">
            <v>Cuchuco</v>
          </cell>
          <cell r="D21" t="str">
            <v>Cebada</v>
          </cell>
          <cell r="F21" t="str">
            <v>Grano entero</v>
          </cell>
          <cell r="H21" t="str">
            <v>Limpieza</v>
          </cell>
          <cell r="I21" t="str">
            <v>Triturado</v>
          </cell>
          <cell r="M21" t="str">
            <v>Hordeum</v>
          </cell>
          <cell r="N21" t="str">
            <v>vulgare L,</v>
          </cell>
          <cell r="P21" t="str">
            <v>232</v>
          </cell>
          <cell r="Q21" t="str">
            <v>No reporta</v>
          </cell>
          <cell r="R21" t="str">
            <v>Cuchuco de cebada</v>
          </cell>
          <cell r="S21">
            <v>10.199999999999999</v>
          </cell>
          <cell r="U21" t="str">
            <v>d</v>
          </cell>
        </row>
        <row r="22">
          <cell r="A22">
            <v>35</v>
          </cell>
          <cell r="B22" t="str">
            <v>Cuchuco de trigo</v>
          </cell>
          <cell r="C22" t="str">
            <v>Cuchuco</v>
          </cell>
          <cell r="D22" t="str">
            <v>Trigo</v>
          </cell>
          <cell r="F22" t="str">
            <v>Grano entero</v>
          </cell>
          <cell r="H22" t="str">
            <v>Limpieza</v>
          </cell>
          <cell r="I22" t="str">
            <v>Triturado</v>
          </cell>
          <cell r="P22" t="str">
            <v>232</v>
          </cell>
          <cell r="Q22" t="str">
            <v>No reporta</v>
          </cell>
          <cell r="R22" t="str">
            <v>Cuchuco de trigo</v>
          </cell>
          <cell r="S22">
            <v>10.5</v>
          </cell>
          <cell r="U22" t="str">
            <v>d</v>
          </cell>
        </row>
        <row r="23">
          <cell r="A23">
            <v>37</v>
          </cell>
          <cell r="B23" t="str">
            <v>Galleta</v>
          </cell>
          <cell r="C23" t="str">
            <v>Galleta</v>
          </cell>
          <cell r="F23" t="str">
            <v>Entero</v>
          </cell>
          <cell r="H23" t="str">
            <v>Mezclado</v>
          </cell>
          <cell r="I23" t="str">
            <v>Amasado</v>
          </cell>
          <cell r="J23" t="str">
            <v>Horneado</v>
          </cell>
          <cell r="P23" t="str">
            <v>17</v>
          </cell>
          <cell r="Q23" t="str">
            <v>No reporta</v>
          </cell>
          <cell r="R23" t="str">
            <v>Galleta</v>
          </cell>
          <cell r="S23">
            <v>5.3</v>
          </cell>
          <cell r="T23">
            <v>0</v>
          </cell>
          <cell r="U23" t="str">
            <v>a</v>
          </cell>
        </row>
        <row r="24">
          <cell r="A24">
            <v>39</v>
          </cell>
          <cell r="B24" t="str">
            <v>Galleta de soda</v>
          </cell>
          <cell r="C24" t="str">
            <v>Galletas</v>
          </cell>
          <cell r="D24" t="str">
            <v>Soda</v>
          </cell>
          <cell r="F24" t="str">
            <v>Entero</v>
          </cell>
          <cell r="H24" t="str">
            <v>Mezclado</v>
          </cell>
          <cell r="I24" t="str">
            <v>Amasado</v>
          </cell>
          <cell r="J24" t="str">
            <v>Horneado</v>
          </cell>
          <cell r="P24" t="str">
            <v>Industria, 232</v>
          </cell>
          <cell r="Q24" t="str">
            <v>Muestra comercial</v>
          </cell>
          <cell r="R24" t="str">
            <v>Galleta de soda</v>
          </cell>
          <cell r="S24">
            <v>2</v>
          </cell>
          <cell r="T24">
            <v>0</v>
          </cell>
          <cell r="U24" t="str">
            <v>a</v>
          </cell>
        </row>
        <row r="25">
          <cell r="A25">
            <v>40</v>
          </cell>
          <cell r="B25" t="str">
            <v>Galleta dulce</v>
          </cell>
          <cell r="C25" t="str">
            <v>Galletas</v>
          </cell>
          <cell r="D25" t="str">
            <v>Dulces</v>
          </cell>
          <cell r="F25" t="str">
            <v>Entero</v>
          </cell>
          <cell r="H25" t="str">
            <v>Mezclado</v>
          </cell>
          <cell r="I25" t="str">
            <v>Amasado</v>
          </cell>
          <cell r="J25" t="str">
            <v>Horneado</v>
          </cell>
          <cell r="P25" t="str">
            <v>Industria</v>
          </cell>
          <cell r="Q25" t="str">
            <v>Muestra comercial</v>
          </cell>
          <cell r="R25" t="str">
            <v>Galleta dulce</v>
          </cell>
          <cell r="S25">
            <v>2.2999999999999998</v>
          </cell>
          <cell r="T25">
            <v>0.1</v>
          </cell>
          <cell r="U25" t="str">
            <v>a</v>
          </cell>
        </row>
        <row r="26">
          <cell r="A26">
            <v>44</v>
          </cell>
          <cell r="B26" t="str">
            <v>Galleta wafer de fresa</v>
          </cell>
          <cell r="C26" t="str">
            <v>Galletas</v>
          </cell>
          <cell r="D26" t="str">
            <v>Wafer</v>
          </cell>
          <cell r="F26" t="str">
            <v>Entero</v>
          </cell>
          <cell r="H26" t="str">
            <v>Mezclado</v>
          </cell>
          <cell r="I26" t="str">
            <v>Amasado</v>
          </cell>
          <cell r="J26" t="str">
            <v>Horneado</v>
          </cell>
          <cell r="P26" t="str">
            <v>Industria</v>
          </cell>
          <cell r="Q26" t="str">
            <v>Muestra comercial</v>
          </cell>
          <cell r="R26" t="str">
            <v>Galleta wafer de fresa</v>
          </cell>
          <cell r="S26">
            <v>0.8</v>
          </cell>
          <cell r="T26">
            <v>0.1</v>
          </cell>
          <cell r="U26" t="str">
            <v>a</v>
          </cell>
        </row>
        <row r="27">
          <cell r="A27">
            <v>49</v>
          </cell>
          <cell r="B27" t="str">
            <v>Harina de maíz amarillo</v>
          </cell>
          <cell r="C27" t="str">
            <v>Harina</v>
          </cell>
          <cell r="D27" t="str">
            <v>Maíz amarillo</v>
          </cell>
          <cell r="F27" t="str">
            <v>Grano</v>
          </cell>
          <cell r="H27" t="str">
            <v>Desgranado</v>
          </cell>
          <cell r="I27" t="str">
            <v>Secado</v>
          </cell>
          <cell r="J27" t="str">
            <v>Trillado</v>
          </cell>
          <cell r="K27" t="str">
            <v>Molido</v>
          </cell>
          <cell r="M27" t="str">
            <v>Zea</v>
          </cell>
          <cell r="N27" t="str">
            <v>mays L,</v>
          </cell>
          <cell r="O27" t="str">
            <v>Amarillo</v>
          </cell>
          <cell r="P27" t="str">
            <v>232</v>
          </cell>
          <cell r="Q27" t="str">
            <v>No reporta</v>
          </cell>
          <cell r="R27" t="str">
            <v>Harina de maíz amarillo</v>
          </cell>
          <cell r="S27">
            <v>12</v>
          </cell>
          <cell r="U27" t="str">
            <v>c</v>
          </cell>
        </row>
        <row r="28">
          <cell r="A28">
            <v>50</v>
          </cell>
          <cell r="B28" t="str">
            <v>Harina de maíz blanco</v>
          </cell>
          <cell r="C28" t="str">
            <v>Harina</v>
          </cell>
          <cell r="D28" t="str">
            <v>Maíz blanco</v>
          </cell>
          <cell r="F28" t="str">
            <v>Grano</v>
          </cell>
          <cell r="H28" t="str">
            <v>Desgranado</v>
          </cell>
          <cell r="I28" t="str">
            <v>Secado</v>
          </cell>
          <cell r="J28" t="str">
            <v>Trillado</v>
          </cell>
          <cell r="K28" t="str">
            <v>Molido</v>
          </cell>
          <cell r="M28" t="str">
            <v>Zea</v>
          </cell>
          <cell r="N28" t="str">
            <v>mays L,</v>
          </cell>
          <cell r="O28" t="str">
            <v>Blanco</v>
          </cell>
          <cell r="P28" t="str">
            <v>232</v>
          </cell>
          <cell r="Q28" t="str">
            <v>No reporta</v>
          </cell>
          <cell r="R28" t="str">
            <v>Harina de maíz blanco</v>
          </cell>
          <cell r="S28">
            <v>12</v>
          </cell>
          <cell r="U28" t="str">
            <v>c</v>
          </cell>
        </row>
        <row r="29">
          <cell r="A29">
            <v>51</v>
          </cell>
          <cell r="B29" t="str">
            <v>Harina de maíz, extra cruda</v>
          </cell>
          <cell r="C29" t="str">
            <v>Harina</v>
          </cell>
          <cell r="D29" t="str">
            <v>De maíz</v>
          </cell>
          <cell r="F29" t="str">
            <v>Endospermo</v>
          </cell>
          <cell r="H29" t="str">
            <v>Desgranado</v>
          </cell>
          <cell r="I29" t="str">
            <v>Secado</v>
          </cell>
          <cell r="J29" t="str">
            <v>Molido</v>
          </cell>
          <cell r="M29" t="str">
            <v>Zea</v>
          </cell>
          <cell r="N29" t="str">
            <v>mays L,</v>
          </cell>
          <cell r="P29" t="str">
            <v>232</v>
          </cell>
          <cell r="Q29" t="str">
            <v>No reporta</v>
          </cell>
          <cell r="R29" t="str">
            <v>Harina de maíz, extra cruda</v>
          </cell>
          <cell r="S29">
            <v>10.6</v>
          </cell>
          <cell r="U29" t="str">
            <v>d</v>
          </cell>
        </row>
        <row r="30">
          <cell r="A30">
            <v>52</v>
          </cell>
          <cell r="B30" t="str">
            <v>Harina de maíz, extra tostada</v>
          </cell>
          <cell r="C30" t="str">
            <v>Harina</v>
          </cell>
          <cell r="D30" t="str">
            <v>Maíz</v>
          </cell>
          <cell r="F30" t="str">
            <v>Grano</v>
          </cell>
          <cell r="H30" t="str">
            <v>Desgranado</v>
          </cell>
          <cell r="I30" t="str">
            <v>Secado</v>
          </cell>
          <cell r="J30" t="str">
            <v>Molido</v>
          </cell>
          <cell r="K30" t="str">
            <v>Tamizado</v>
          </cell>
          <cell r="L30" t="str">
            <v>Tostado</v>
          </cell>
          <cell r="P30" t="str">
            <v>232, 91</v>
          </cell>
          <cell r="Q30" t="str">
            <v>Muestra comercial</v>
          </cell>
          <cell r="R30" t="str">
            <v>Harina de maíz, extra tostada</v>
          </cell>
          <cell r="S30">
            <v>7.5</v>
          </cell>
          <cell r="T30">
            <v>0.1</v>
          </cell>
          <cell r="U30" t="str">
            <v>b</v>
          </cell>
        </row>
        <row r="31">
          <cell r="A31">
            <v>54</v>
          </cell>
          <cell r="B31" t="str">
            <v>Harina de trigo de primera</v>
          </cell>
          <cell r="C31" t="str">
            <v>Harina</v>
          </cell>
          <cell r="D31" t="str">
            <v>De trigo</v>
          </cell>
          <cell r="E31" t="str">
            <v>1ra,</v>
          </cell>
          <cell r="F31" t="str">
            <v>Grano</v>
          </cell>
          <cell r="H31" t="str">
            <v>Pulido</v>
          </cell>
          <cell r="I31" t="str">
            <v>Molido</v>
          </cell>
          <cell r="M31" t="str">
            <v>Triticum</v>
          </cell>
          <cell r="N31" t="str">
            <v>aestivum L,</v>
          </cell>
          <cell r="P31" t="str">
            <v>232</v>
          </cell>
          <cell r="Q31" t="str">
            <v>No reporta</v>
          </cell>
          <cell r="R31" t="str">
            <v>Harina de trigo de primera</v>
          </cell>
          <cell r="S31">
            <v>12.8</v>
          </cell>
          <cell r="U31" t="str">
            <v>c</v>
          </cell>
        </row>
        <row r="32">
          <cell r="A32">
            <v>55</v>
          </cell>
          <cell r="B32" t="str">
            <v>Harina de trigo de segunda</v>
          </cell>
          <cell r="C32" t="str">
            <v>Harina</v>
          </cell>
          <cell r="D32" t="str">
            <v>De trigo</v>
          </cell>
          <cell r="E32" t="str">
            <v>2da,</v>
          </cell>
          <cell r="F32" t="str">
            <v>Grano</v>
          </cell>
          <cell r="H32" t="str">
            <v>Pulido</v>
          </cell>
          <cell r="I32" t="str">
            <v>Molido</v>
          </cell>
          <cell r="M32" t="str">
            <v>Triticum</v>
          </cell>
          <cell r="N32" t="str">
            <v>aestivum L,</v>
          </cell>
          <cell r="P32" t="str">
            <v>232</v>
          </cell>
          <cell r="Q32" t="str">
            <v>No reporta</v>
          </cell>
          <cell r="R32" t="str">
            <v>Harina de trigo de segunda</v>
          </cell>
          <cell r="S32">
            <v>13</v>
          </cell>
          <cell r="U32" t="str">
            <v>c</v>
          </cell>
        </row>
        <row r="33">
          <cell r="A33">
            <v>56</v>
          </cell>
          <cell r="B33" t="str">
            <v>Harina de trigo de tercera</v>
          </cell>
          <cell r="C33" t="str">
            <v>Harina</v>
          </cell>
          <cell r="D33" t="str">
            <v>De trigo</v>
          </cell>
          <cell r="E33" t="str">
            <v>3ra,</v>
          </cell>
          <cell r="F33" t="str">
            <v>Grano</v>
          </cell>
          <cell r="H33" t="str">
            <v>Pulido</v>
          </cell>
          <cell r="I33" t="str">
            <v>Molido</v>
          </cell>
          <cell r="M33" t="str">
            <v>Triticum</v>
          </cell>
          <cell r="N33" t="str">
            <v>aestivum L,</v>
          </cell>
          <cell r="P33" t="str">
            <v>232</v>
          </cell>
          <cell r="Q33" t="str">
            <v>No reporta</v>
          </cell>
          <cell r="R33" t="str">
            <v>Harina de trigo de tercera</v>
          </cell>
          <cell r="S33">
            <v>12.2</v>
          </cell>
          <cell r="U33" t="str">
            <v>c</v>
          </cell>
        </row>
        <row r="34">
          <cell r="A34">
            <v>58</v>
          </cell>
          <cell r="B34" t="str">
            <v>Harina de trigo importado</v>
          </cell>
          <cell r="C34" t="str">
            <v>Harina</v>
          </cell>
          <cell r="D34" t="str">
            <v>De trigo</v>
          </cell>
          <cell r="F34" t="str">
            <v>Grano</v>
          </cell>
          <cell r="H34" t="str">
            <v>Molido</v>
          </cell>
          <cell r="I34" t="str">
            <v>Trillado</v>
          </cell>
          <cell r="M34" t="str">
            <v>Triticum</v>
          </cell>
          <cell r="N34" t="str">
            <v>aestivum L,</v>
          </cell>
          <cell r="P34" t="str">
            <v>232, 150, 175, 122, 59, 91, 60, Industria</v>
          </cell>
          <cell r="Q34" t="str">
            <v>Muestra comercial</v>
          </cell>
          <cell r="R34" t="str">
            <v>Harina de trigo importado</v>
          </cell>
          <cell r="S34">
            <v>12.5</v>
          </cell>
          <cell r="T34">
            <v>1.4</v>
          </cell>
          <cell r="U34" t="str">
            <v>a</v>
          </cell>
        </row>
        <row r="35">
          <cell r="A35">
            <v>61</v>
          </cell>
          <cell r="B35" t="str">
            <v>Hojaldre</v>
          </cell>
          <cell r="C35" t="str">
            <v>Hojaldre</v>
          </cell>
          <cell r="D35" t="str">
            <v>De harina de trigo</v>
          </cell>
          <cell r="H35" t="str">
            <v>Mezclado</v>
          </cell>
          <cell r="I35" t="str">
            <v>Amasado</v>
          </cell>
          <cell r="J35" t="str">
            <v>Horneado</v>
          </cell>
          <cell r="M35" t="str">
            <v>Triticum</v>
          </cell>
          <cell r="N35" t="str">
            <v>aestivum L,</v>
          </cell>
          <cell r="P35" t="str">
            <v>232</v>
          </cell>
          <cell r="Q35" t="str">
            <v>No reporta</v>
          </cell>
          <cell r="R35" t="str">
            <v>Hojaldre</v>
          </cell>
          <cell r="S35">
            <v>10</v>
          </cell>
          <cell r="U35" t="str">
            <v>d</v>
          </cell>
        </row>
        <row r="36">
          <cell r="A36">
            <v>63</v>
          </cell>
          <cell r="B36" t="str">
            <v>Maíz amarillo</v>
          </cell>
          <cell r="C36" t="str">
            <v>Maíz</v>
          </cell>
          <cell r="D36" t="str">
            <v>Amarillo</v>
          </cell>
          <cell r="F36" t="str">
            <v>Grano</v>
          </cell>
          <cell r="H36" t="str">
            <v>Trillado</v>
          </cell>
          <cell r="M36" t="str">
            <v>Zea</v>
          </cell>
          <cell r="N36" t="str">
            <v>mays L,</v>
          </cell>
          <cell r="O36" t="str">
            <v>ICA V-109</v>
          </cell>
          <cell r="P36" t="str">
            <v>232</v>
          </cell>
          <cell r="Q36" t="str">
            <v>No reporta</v>
          </cell>
          <cell r="R36" t="str">
            <v>Maíz amarillo</v>
          </cell>
          <cell r="S36">
            <v>16.2</v>
          </cell>
          <cell r="T36">
            <v>0.6</v>
          </cell>
          <cell r="U36" t="str">
            <v>c</v>
          </cell>
        </row>
        <row r="37">
          <cell r="A37">
            <v>64</v>
          </cell>
          <cell r="B37" t="str">
            <v>Maíz amarillo, trillado</v>
          </cell>
          <cell r="C37" t="str">
            <v>Maíz</v>
          </cell>
          <cell r="D37" t="str">
            <v>Amarillo</v>
          </cell>
          <cell r="F37" t="str">
            <v>Grano</v>
          </cell>
          <cell r="H37" t="str">
            <v>Trillado</v>
          </cell>
          <cell r="M37" t="str">
            <v>Zea</v>
          </cell>
          <cell r="N37" t="str">
            <v>mays L,</v>
          </cell>
          <cell r="O37" t="str">
            <v>ICA H - 207</v>
          </cell>
          <cell r="P37" t="str">
            <v>232</v>
          </cell>
          <cell r="Q37" t="str">
            <v>No reporta</v>
          </cell>
          <cell r="R37" t="str">
            <v>Maíz amarillo, trillado</v>
          </cell>
          <cell r="S37">
            <v>12</v>
          </cell>
          <cell r="U37" t="str">
            <v>d</v>
          </cell>
        </row>
        <row r="38">
          <cell r="A38">
            <v>65</v>
          </cell>
          <cell r="B38" t="str">
            <v>Maíz amarillo</v>
          </cell>
          <cell r="C38" t="str">
            <v>Maíz</v>
          </cell>
          <cell r="D38" t="str">
            <v>Amarillo</v>
          </cell>
          <cell r="F38" t="str">
            <v>Grano</v>
          </cell>
          <cell r="H38" t="str">
            <v>Limpieza</v>
          </cell>
          <cell r="I38" t="str">
            <v>Moturación en seco</v>
          </cell>
          <cell r="J38" t="str">
            <v>Pulverizado</v>
          </cell>
          <cell r="M38" t="str">
            <v>Zea</v>
          </cell>
          <cell r="N38" t="str">
            <v>mays L</v>
          </cell>
          <cell r="O38" t="str">
            <v>ICA H - 207</v>
          </cell>
          <cell r="P38" t="str">
            <v>147</v>
          </cell>
          <cell r="Q38" t="str">
            <v>Bolívar</v>
          </cell>
          <cell r="R38" t="str">
            <v>Maíz amarillo</v>
          </cell>
          <cell r="S38">
            <v>11.4</v>
          </cell>
          <cell r="U38" t="str">
            <v>c</v>
          </cell>
        </row>
        <row r="39">
          <cell r="A39">
            <v>66</v>
          </cell>
          <cell r="B39" t="str">
            <v>Maíz blanco</v>
          </cell>
          <cell r="C39" t="str">
            <v>Maíz</v>
          </cell>
          <cell r="D39" t="str">
            <v>Blanco</v>
          </cell>
          <cell r="F39" t="str">
            <v>Grano</v>
          </cell>
          <cell r="H39" t="str">
            <v>Limpieza</v>
          </cell>
          <cell r="M39" t="str">
            <v>Zea</v>
          </cell>
          <cell r="N39" t="str">
            <v>mays L,</v>
          </cell>
          <cell r="O39" t="str">
            <v>Blanco</v>
          </cell>
          <cell r="P39" t="str">
            <v>232</v>
          </cell>
          <cell r="Q39" t="str">
            <v>No reporta</v>
          </cell>
          <cell r="R39" t="str">
            <v>Maíz blanco</v>
          </cell>
          <cell r="S39">
            <v>15.2</v>
          </cell>
          <cell r="U39" t="str">
            <v>c</v>
          </cell>
        </row>
        <row r="40">
          <cell r="A40">
            <v>67</v>
          </cell>
          <cell r="B40" t="str">
            <v>Maíz blanco</v>
          </cell>
          <cell r="C40" t="str">
            <v>Maíz</v>
          </cell>
          <cell r="D40" t="str">
            <v>Blanco</v>
          </cell>
          <cell r="F40" t="str">
            <v>Grano</v>
          </cell>
          <cell r="H40" t="str">
            <v>Limpieza</v>
          </cell>
          <cell r="I40" t="str">
            <v>Trillado</v>
          </cell>
          <cell r="M40" t="str">
            <v>Zea</v>
          </cell>
          <cell r="N40" t="str">
            <v>mays L,</v>
          </cell>
          <cell r="O40" t="str">
            <v>Blanco</v>
          </cell>
          <cell r="P40" t="str">
            <v>232</v>
          </cell>
          <cell r="Q40" t="str">
            <v>No reporta</v>
          </cell>
          <cell r="R40" t="str">
            <v>Maíz blanco</v>
          </cell>
          <cell r="S40">
            <v>25</v>
          </cell>
          <cell r="U40" t="str">
            <v>d</v>
          </cell>
        </row>
        <row r="41">
          <cell r="A41">
            <v>68</v>
          </cell>
          <cell r="B41" t="str">
            <v>Maíz común</v>
          </cell>
          <cell r="C41" t="str">
            <v>Maíz</v>
          </cell>
          <cell r="D41" t="str">
            <v>Común</v>
          </cell>
          <cell r="F41" t="str">
            <v>Grano</v>
          </cell>
          <cell r="H41" t="str">
            <v>Limpieza</v>
          </cell>
          <cell r="I41" t="str">
            <v>Desgranado</v>
          </cell>
          <cell r="M41" t="str">
            <v>Zea</v>
          </cell>
          <cell r="N41" t="str">
            <v>mays L</v>
          </cell>
          <cell r="O41" t="str">
            <v>ICA H - 207</v>
          </cell>
          <cell r="P41" t="str">
            <v>23</v>
          </cell>
          <cell r="Q41" t="str">
            <v>Valle, Meta, Antioquia, Cundinamarca</v>
          </cell>
          <cell r="R41" t="str">
            <v>Maíz común</v>
          </cell>
          <cell r="S41">
            <v>10.8</v>
          </cell>
          <cell r="U41" t="str">
            <v>b</v>
          </cell>
        </row>
        <row r="42">
          <cell r="A42">
            <v>69</v>
          </cell>
          <cell r="B42" t="str">
            <v>Maíz común</v>
          </cell>
          <cell r="C42" t="str">
            <v>Maíz</v>
          </cell>
          <cell r="D42" t="str">
            <v>Común</v>
          </cell>
          <cell r="F42" t="str">
            <v>Grano</v>
          </cell>
          <cell r="H42" t="str">
            <v>Limpieza</v>
          </cell>
          <cell r="I42" t="str">
            <v>Desgranado</v>
          </cell>
          <cell r="M42" t="str">
            <v>Zea</v>
          </cell>
          <cell r="N42" t="str">
            <v>mays L</v>
          </cell>
          <cell r="O42" t="str">
            <v>ICA H - 253</v>
          </cell>
          <cell r="P42" t="str">
            <v>23</v>
          </cell>
          <cell r="Q42" t="str">
            <v>Valle, Meta, Antioquia, Cundinamarca</v>
          </cell>
          <cell r="R42" t="str">
            <v>Maíz común</v>
          </cell>
          <cell r="S42">
            <v>10.4</v>
          </cell>
          <cell r="U42" t="str">
            <v>b</v>
          </cell>
        </row>
        <row r="43">
          <cell r="A43">
            <v>70</v>
          </cell>
          <cell r="B43" t="str">
            <v>Maíz común</v>
          </cell>
          <cell r="C43" t="str">
            <v>Maíz</v>
          </cell>
          <cell r="D43" t="str">
            <v>Común</v>
          </cell>
          <cell r="F43" t="str">
            <v>Grano</v>
          </cell>
          <cell r="H43" t="str">
            <v>Limpieza</v>
          </cell>
          <cell r="I43" t="str">
            <v>Desgranado</v>
          </cell>
          <cell r="J43" t="str">
            <v>Molido</v>
          </cell>
          <cell r="M43" t="str">
            <v>Zea</v>
          </cell>
          <cell r="N43" t="str">
            <v>mays L</v>
          </cell>
          <cell r="P43" t="str">
            <v>219, 146</v>
          </cell>
          <cell r="Q43" t="str">
            <v>Cauca</v>
          </cell>
          <cell r="R43" t="str">
            <v>Maíz común</v>
          </cell>
          <cell r="S43">
            <v>10</v>
          </cell>
          <cell r="T43">
            <v>2.6</v>
          </cell>
          <cell r="U43" t="str">
            <v>c</v>
          </cell>
        </row>
        <row r="44">
          <cell r="A44">
            <v>71</v>
          </cell>
          <cell r="B44" t="str">
            <v>Maíz maravilla</v>
          </cell>
          <cell r="C44" t="str">
            <v>Maíz</v>
          </cell>
          <cell r="D44" t="str">
            <v>Maravilla</v>
          </cell>
          <cell r="E44" t="str">
            <v>Tierno</v>
          </cell>
          <cell r="F44" t="str">
            <v>Grano</v>
          </cell>
          <cell r="H44" t="str">
            <v>Limpieza</v>
          </cell>
          <cell r="P44" t="str">
            <v>232</v>
          </cell>
          <cell r="Q44" t="str">
            <v>No reporta</v>
          </cell>
          <cell r="R44" t="str">
            <v>Maíz maravilla</v>
          </cell>
          <cell r="S44">
            <v>54.5</v>
          </cell>
          <cell r="U44" t="str">
            <v>d</v>
          </cell>
        </row>
        <row r="45">
          <cell r="A45">
            <v>72</v>
          </cell>
          <cell r="B45" t="str">
            <v>Maíz mijo</v>
          </cell>
          <cell r="C45" t="str">
            <v>Maíz</v>
          </cell>
          <cell r="D45" t="str">
            <v>Mijo</v>
          </cell>
          <cell r="F45" t="str">
            <v>Grano</v>
          </cell>
          <cell r="H45" t="str">
            <v>Limpieza</v>
          </cell>
          <cell r="L45" t="str">
            <v>Millo</v>
          </cell>
          <cell r="M45" t="str">
            <v>Sorghum</v>
          </cell>
          <cell r="N45" t="str">
            <v>vulgare L,</v>
          </cell>
          <cell r="O45" t="str">
            <v>Glutinosum pearsoon/millo</v>
          </cell>
          <cell r="P45" t="str">
            <v>232</v>
          </cell>
          <cell r="Q45" t="str">
            <v>No reporta</v>
          </cell>
          <cell r="R45" t="str">
            <v>Maíz mijo</v>
          </cell>
          <cell r="S45">
            <v>11</v>
          </cell>
          <cell r="U45" t="str">
            <v>c</v>
          </cell>
        </row>
        <row r="46">
          <cell r="A46">
            <v>73</v>
          </cell>
          <cell r="B46" t="str">
            <v>Maíz mute, cocido</v>
          </cell>
          <cell r="C46" t="str">
            <v>Maíz</v>
          </cell>
          <cell r="D46" t="str">
            <v>Mute</v>
          </cell>
          <cell r="F46" t="str">
            <v>Grano</v>
          </cell>
          <cell r="H46" t="str">
            <v>Limpieza</v>
          </cell>
          <cell r="I46" t="str">
            <v>Trillado</v>
          </cell>
          <cell r="J46" t="str">
            <v>Cocido</v>
          </cell>
          <cell r="M46" t="str">
            <v>Zea</v>
          </cell>
          <cell r="N46" t="str">
            <v>mays L,</v>
          </cell>
          <cell r="P46" t="str">
            <v>232</v>
          </cell>
          <cell r="Q46" t="str">
            <v>No reporta</v>
          </cell>
          <cell r="R46" t="str">
            <v>Maíz mute, cocido</v>
          </cell>
          <cell r="S46">
            <v>75.7</v>
          </cell>
          <cell r="U46" t="str">
            <v>c</v>
          </cell>
        </row>
        <row r="47">
          <cell r="A47">
            <v>74</v>
          </cell>
          <cell r="B47" t="str">
            <v>Maíz opaco</v>
          </cell>
          <cell r="C47" t="str">
            <v>Maíz</v>
          </cell>
          <cell r="D47" t="str">
            <v>Opaco</v>
          </cell>
          <cell r="F47" t="str">
            <v>Grano</v>
          </cell>
          <cell r="H47" t="str">
            <v>Limpieza</v>
          </cell>
          <cell r="M47" t="str">
            <v>Zea</v>
          </cell>
          <cell r="N47" t="str">
            <v>mays L</v>
          </cell>
          <cell r="O47" t="str">
            <v>ICA H - 208</v>
          </cell>
          <cell r="P47" t="str">
            <v>23</v>
          </cell>
          <cell r="Q47" t="str">
            <v>Valle, Meta, Antioquia, Cundinamarca</v>
          </cell>
          <cell r="R47" t="str">
            <v>Maíz opaco</v>
          </cell>
          <cell r="S47">
            <v>11.7</v>
          </cell>
          <cell r="T47">
            <v>1.2</v>
          </cell>
          <cell r="U47" t="str">
            <v>b</v>
          </cell>
        </row>
        <row r="48">
          <cell r="A48">
            <v>75</v>
          </cell>
          <cell r="B48" t="str">
            <v>Maíz opaco</v>
          </cell>
          <cell r="C48" t="str">
            <v>Maíz</v>
          </cell>
          <cell r="D48" t="str">
            <v>Opaco</v>
          </cell>
          <cell r="F48" t="str">
            <v>Grano</v>
          </cell>
          <cell r="H48" t="str">
            <v>Limpieza</v>
          </cell>
          <cell r="M48" t="str">
            <v>Zea</v>
          </cell>
          <cell r="N48" t="str">
            <v>mays L</v>
          </cell>
          <cell r="O48" t="str">
            <v>ICA H - 255</v>
          </cell>
          <cell r="P48" t="str">
            <v>23</v>
          </cell>
          <cell r="Q48" t="str">
            <v>Valle, Meta, Antioquia, Cundinamarca</v>
          </cell>
          <cell r="R48" t="str">
            <v>Maíz opaco</v>
          </cell>
          <cell r="S48">
            <v>11.2</v>
          </cell>
          <cell r="U48" t="str">
            <v>b</v>
          </cell>
        </row>
        <row r="49">
          <cell r="A49">
            <v>76</v>
          </cell>
          <cell r="B49" t="str">
            <v>Maíz opaco, amarillo</v>
          </cell>
          <cell r="C49" t="str">
            <v>Maíz</v>
          </cell>
          <cell r="D49" t="str">
            <v>Opaco amarillo</v>
          </cell>
          <cell r="F49" t="str">
            <v>Grano</v>
          </cell>
          <cell r="H49" t="str">
            <v>Limpieza</v>
          </cell>
          <cell r="M49" t="str">
            <v>Zea</v>
          </cell>
          <cell r="N49" t="str">
            <v>mays L,</v>
          </cell>
          <cell r="O49" t="str">
            <v>Opaco</v>
          </cell>
          <cell r="P49" t="str">
            <v>232</v>
          </cell>
          <cell r="Q49" t="str">
            <v>No reporta</v>
          </cell>
          <cell r="R49" t="str">
            <v>Maíz opaco, amarillo</v>
          </cell>
          <cell r="S49">
            <v>10.7</v>
          </cell>
          <cell r="U49" t="str">
            <v>d</v>
          </cell>
        </row>
        <row r="50">
          <cell r="A50">
            <v>77</v>
          </cell>
          <cell r="B50" t="str">
            <v>Maíz pira</v>
          </cell>
          <cell r="C50" t="str">
            <v>Maíz</v>
          </cell>
          <cell r="D50" t="str">
            <v>Pira</v>
          </cell>
          <cell r="F50" t="str">
            <v>Grano</v>
          </cell>
          <cell r="H50" t="str">
            <v>Limpieza</v>
          </cell>
          <cell r="M50" t="str">
            <v>Zea</v>
          </cell>
          <cell r="N50" t="str">
            <v>spp,</v>
          </cell>
          <cell r="O50" t="str">
            <v>Pira</v>
          </cell>
          <cell r="P50" t="str">
            <v>232</v>
          </cell>
          <cell r="Q50" t="str">
            <v>No reporta</v>
          </cell>
          <cell r="R50" t="str">
            <v>Maíz pira</v>
          </cell>
          <cell r="S50">
            <v>12.5</v>
          </cell>
          <cell r="U50" t="str">
            <v>c</v>
          </cell>
        </row>
        <row r="51">
          <cell r="A51">
            <v>78</v>
          </cell>
          <cell r="B51" t="str">
            <v>Maíz porva</v>
          </cell>
          <cell r="C51" t="str">
            <v>Maíz</v>
          </cell>
          <cell r="D51" t="str">
            <v>Porva</v>
          </cell>
          <cell r="F51" t="str">
            <v>Grano entero</v>
          </cell>
          <cell r="H51" t="str">
            <v>Limpieza</v>
          </cell>
          <cell r="M51" t="str">
            <v>Zea</v>
          </cell>
          <cell r="N51" t="str">
            <v>mays L,</v>
          </cell>
          <cell r="O51" t="str">
            <v>Porva</v>
          </cell>
          <cell r="P51" t="str">
            <v>232</v>
          </cell>
          <cell r="Q51" t="str">
            <v>No reporta</v>
          </cell>
          <cell r="R51" t="str">
            <v>Maíz porva</v>
          </cell>
          <cell r="S51">
            <v>13.5</v>
          </cell>
          <cell r="U51" t="str">
            <v>d</v>
          </cell>
        </row>
        <row r="52">
          <cell r="A52">
            <v>79</v>
          </cell>
          <cell r="B52" t="str">
            <v>Maíz tierno</v>
          </cell>
          <cell r="C52" t="str">
            <v>Maíz</v>
          </cell>
          <cell r="D52" t="str">
            <v>Tierno</v>
          </cell>
          <cell r="F52" t="str">
            <v>Grano entero</v>
          </cell>
          <cell r="H52" t="str">
            <v>Limpieza</v>
          </cell>
          <cell r="L52" t="str">
            <v>Choclo</v>
          </cell>
          <cell r="M52" t="str">
            <v>Zea</v>
          </cell>
          <cell r="N52" t="str">
            <v>mays L,</v>
          </cell>
          <cell r="P52" t="str">
            <v>232</v>
          </cell>
          <cell r="Q52" t="str">
            <v>No reporta</v>
          </cell>
          <cell r="R52" t="str">
            <v>Maíz tierno</v>
          </cell>
          <cell r="S52">
            <v>64.2</v>
          </cell>
          <cell r="U52" t="str">
            <v>c</v>
          </cell>
        </row>
        <row r="53">
          <cell r="A53">
            <v>80</v>
          </cell>
          <cell r="B53" t="str">
            <v>Mantecada</v>
          </cell>
          <cell r="C53" t="str">
            <v>Mantecada</v>
          </cell>
          <cell r="H53" t="str">
            <v>Mezclado</v>
          </cell>
          <cell r="I53" t="str">
            <v>Amasado</v>
          </cell>
          <cell r="J53" t="str">
            <v>Horneado</v>
          </cell>
          <cell r="P53" t="str">
            <v>Industria</v>
          </cell>
          <cell r="Q53" t="str">
            <v>Muestra comercial</v>
          </cell>
          <cell r="R53" t="str">
            <v>Mantecada</v>
          </cell>
          <cell r="S53">
            <v>21.2</v>
          </cell>
          <cell r="T53">
            <v>0.4</v>
          </cell>
          <cell r="U53" t="str">
            <v>d</v>
          </cell>
        </row>
        <row r="54">
          <cell r="A54">
            <v>83</v>
          </cell>
          <cell r="B54" t="str">
            <v>Mogolla</v>
          </cell>
          <cell r="C54" t="str">
            <v>Mogolla</v>
          </cell>
          <cell r="H54" t="str">
            <v>Mezclado</v>
          </cell>
          <cell r="I54" t="str">
            <v>Amasado</v>
          </cell>
          <cell r="J54" t="str">
            <v>Horneado</v>
          </cell>
          <cell r="P54" t="str">
            <v>232</v>
          </cell>
          <cell r="Q54" t="str">
            <v>No reporta</v>
          </cell>
          <cell r="R54" t="str">
            <v>Mogolla</v>
          </cell>
          <cell r="S54">
            <v>22.3</v>
          </cell>
          <cell r="U54" t="str">
            <v>d</v>
          </cell>
        </row>
        <row r="55">
          <cell r="A55">
            <v>85</v>
          </cell>
          <cell r="B55" t="str">
            <v>Mogolla negra</v>
          </cell>
          <cell r="C55" t="str">
            <v>Mogolla</v>
          </cell>
          <cell r="D55" t="str">
            <v>Negra</v>
          </cell>
          <cell r="H55" t="str">
            <v>Mezclado</v>
          </cell>
          <cell r="I55" t="str">
            <v>Amasado</v>
          </cell>
          <cell r="J55" t="str">
            <v>Horneado</v>
          </cell>
          <cell r="P55" t="str">
            <v>Industria</v>
          </cell>
          <cell r="Q55" t="str">
            <v>Muestra comercial</v>
          </cell>
          <cell r="R55" t="str">
            <v>Mogolla negra</v>
          </cell>
          <cell r="S55">
            <v>22.4</v>
          </cell>
          <cell r="T55">
            <v>0.4</v>
          </cell>
          <cell r="U55" t="str">
            <v>a</v>
          </cell>
        </row>
        <row r="56">
          <cell r="A56">
            <v>86</v>
          </cell>
          <cell r="B56" t="str">
            <v>Mojicón</v>
          </cell>
          <cell r="C56" t="str">
            <v>Mojicón</v>
          </cell>
          <cell r="D56" t="str">
            <v>Con azúcar</v>
          </cell>
          <cell r="H56" t="str">
            <v>Mezclado</v>
          </cell>
          <cell r="I56" t="str">
            <v>Amasado</v>
          </cell>
          <cell r="J56" t="str">
            <v>Horneado</v>
          </cell>
          <cell r="P56" t="str">
            <v>232</v>
          </cell>
          <cell r="Q56" t="str">
            <v>No reporta</v>
          </cell>
          <cell r="R56" t="str">
            <v>Mojicón</v>
          </cell>
          <cell r="S56">
            <v>24.5</v>
          </cell>
          <cell r="U56" t="str">
            <v>d</v>
          </cell>
        </row>
        <row r="57">
          <cell r="A57">
            <v>88</v>
          </cell>
          <cell r="B57" t="str">
            <v>Pan</v>
          </cell>
          <cell r="C57" t="str">
            <v>Pan</v>
          </cell>
          <cell r="H57" t="str">
            <v>Mezclado</v>
          </cell>
          <cell r="I57" t="str">
            <v xml:space="preserve"> Amasado</v>
          </cell>
          <cell r="J57" t="str">
            <v>Fermentado</v>
          </cell>
          <cell r="K57" t="str">
            <v>Horneado</v>
          </cell>
          <cell r="P57" t="str">
            <v>59, 17</v>
          </cell>
          <cell r="Q57" t="str">
            <v>Muestra comercial</v>
          </cell>
          <cell r="R57" t="str">
            <v>Pan</v>
          </cell>
          <cell r="S57">
            <v>14.8</v>
          </cell>
          <cell r="T57">
            <v>0.4</v>
          </cell>
          <cell r="U57" t="str">
            <v>a</v>
          </cell>
        </row>
        <row r="58">
          <cell r="A58">
            <v>91</v>
          </cell>
          <cell r="B58" t="str">
            <v>Pan blanco</v>
          </cell>
          <cell r="C58" t="str">
            <v>Pan</v>
          </cell>
          <cell r="D58" t="str">
            <v>Blanco</v>
          </cell>
          <cell r="H58" t="str">
            <v>Mezclado</v>
          </cell>
          <cell r="I58" t="str">
            <v xml:space="preserve"> Amasado</v>
          </cell>
          <cell r="J58" t="str">
            <v>Fermentado</v>
          </cell>
          <cell r="K58" t="str">
            <v>Horneado</v>
          </cell>
          <cell r="P58" t="str">
            <v>232, Industria</v>
          </cell>
          <cell r="Q58" t="str">
            <v>Muestra comercial</v>
          </cell>
          <cell r="R58" t="str">
            <v>Pan blanco</v>
          </cell>
          <cell r="S58">
            <v>19.2</v>
          </cell>
          <cell r="U58" t="str">
            <v>c</v>
          </cell>
        </row>
        <row r="59">
          <cell r="A59">
            <v>92</v>
          </cell>
          <cell r="B59" t="str">
            <v>Pan blandito</v>
          </cell>
          <cell r="C59" t="str">
            <v>Pan</v>
          </cell>
          <cell r="D59" t="str">
            <v>Blandito</v>
          </cell>
          <cell r="H59" t="str">
            <v>Mezclado</v>
          </cell>
          <cell r="I59" t="str">
            <v xml:space="preserve"> Amasado</v>
          </cell>
          <cell r="J59" t="str">
            <v>Fermentado</v>
          </cell>
          <cell r="K59" t="str">
            <v>Horneado</v>
          </cell>
          <cell r="P59" t="str">
            <v>Industria</v>
          </cell>
          <cell r="Q59" t="str">
            <v>Muestra comercial</v>
          </cell>
          <cell r="R59" t="str">
            <v>Pan blandito</v>
          </cell>
          <cell r="S59">
            <v>28.1</v>
          </cell>
          <cell r="T59">
            <v>0.4</v>
          </cell>
          <cell r="U59" t="str">
            <v>a</v>
          </cell>
        </row>
        <row r="60">
          <cell r="A60">
            <v>94</v>
          </cell>
          <cell r="B60" t="str">
            <v>Pan de avena</v>
          </cell>
          <cell r="C60" t="str">
            <v>Pan</v>
          </cell>
          <cell r="D60" t="str">
            <v>Avena</v>
          </cell>
          <cell r="H60" t="str">
            <v>Mezclado</v>
          </cell>
          <cell r="I60" t="str">
            <v xml:space="preserve"> Amasado</v>
          </cell>
          <cell r="J60" t="str">
            <v>Fermentado</v>
          </cell>
          <cell r="K60" t="str">
            <v>Horneado</v>
          </cell>
          <cell r="P60" t="str">
            <v>Industria</v>
          </cell>
          <cell r="Q60" t="str">
            <v>Muestra comercial</v>
          </cell>
          <cell r="R60" t="str">
            <v>Pan de avena</v>
          </cell>
          <cell r="S60">
            <v>31.7</v>
          </cell>
          <cell r="T60">
            <v>0.4</v>
          </cell>
          <cell r="U60" t="str">
            <v>a</v>
          </cell>
        </row>
        <row r="61">
          <cell r="A61">
            <v>95</v>
          </cell>
          <cell r="B61" t="str">
            <v>Pan de bono</v>
          </cell>
          <cell r="C61" t="str">
            <v>Pan</v>
          </cell>
          <cell r="D61" t="str">
            <v>De bono</v>
          </cell>
          <cell r="H61" t="str">
            <v>Mezclado</v>
          </cell>
          <cell r="I61" t="str">
            <v>Amasado</v>
          </cell>
          <cell r="J61" t="str">
            <v>Fermentado</v>
          </cell>
          <cell r="K61" t="str">
            <v>Horneado</v>
          </cell>
          <cell r="P61" t="str">
            <v>232</v>
          </cell>
          <cell r="Q61" t="str">
            <v>No reporta</v>
          </cell>
          <cell r="R61" t="str">
            <v>Pan de bono</v>
          </cell>
          <cell r="S61">
            <v>20</v>
          </cell>
          <cell r="U61" t="str">
            <v>d</v>
          </cell>
        </row>
        <row r="62">
          <cell r="A62">
            <v>96</v>
          </cell>
          <cell r="B62" t="str">
            <v>Pan de centeno</v>
          </cell>
          <cell r="C62" t="str">
            <v>Pan</v>
          </cell>
          <cell r="D62" t="str">
            <v>De centeno</v>
          </cell>
          <cell r="E62" t="str">
            <v>Harina de 1a,</v>
          </cell>
          <cell r="H62" t="str">
            <v>Mezclado</v>
          </cell>
          <cell r="I62" t="str">
            <v>Amasado</v>
          </cell>
          <cell r="J62" t="str">
            <v>Fermentado</v>
          </cell>
          <cell r="K62" t="str">
            <v>Horneado</v>
          </cell>
          <cell r="P62" t="str">
            <v>232</v>
          </cell>
          <cell r="Q62" t="str">
            <v>No reporta</v>
          </cell>
          <cell r="R62" t="str">
            <v>Pan de centeno</v>
          </cell>
          <cell r="S62">
            <v>35.200000000000003</v>
          </cell>
          <cell r="U62" t="str">
            <v>c</v>
          </cell>
        </row>
        <row r="63">
          <cell r="A63">
            <v>97</v>
          </cell>
          <cell r="B63" t="str">
            <v>Pan de dulce</v>
          </cell>
          <cell r="C63" t="str">
            <v>Pan</v>
          </cell>
          <cell r="D63" t="str">
            <v>De dulce</v>
          </cell>
          <cell r="H63" t="str">
            <v>Mezclado</v>
          </cell>
          <cell r="I63" t="str">
            <v>Amasado</v>
          </cell>
          <cell r="J63" t="str">
            <v>Fermentado</v>
          </cell>
          <cell r="K63" t="str">
            <v>Horneado</v>
          </cell>
          <cell r="P63" t="str">
            <v>232</v>
          </cell>
          <cell r="Q63" t="str">
            <v>No reporta</v>
          </cell>
          <cell r="R63" t="str">
            <v>Pan de dulce</v>
          </cell>
          <cell r="S63">
            <v>23.1</v>
          </cell>
          <cell r="U63" t="str">
            <v>d</v>
          </cell>
        </row>
        <row r="64">
          <cell r="A64">
            <v>99</v>
          </cell>
          <cell r="B64" t="str">
            <v>Pan de queso</v>
          </cell>
          <cell r="C64" t="str">
            <v>Pan</v>
          </cell>
          <cell r="D64" t="str">
            <v>De maíz y queso</v>
          </cell>
          <cell r="H64" t="str">
            <v>Mezclado</v>
          </cell>
          <cell r="I64" t="str">
            <v>Amasado</v>
          </cell>
          <cell r="J64" t="str">
            <v>Fermentado</v>
          </cell>
          <cell r="K64" t="str">
            <v>Horneado</v>
          </cell>
          <cell r="P64" t="str">
            <v>232</v>
          </cell>
          <cell r="Q64" t="str">
            <v>No reporta</v>
          </cell>
          <cell r="R64" t="str">
            <v>Pan de queso</v>
          </cell>
          <cell r="S64">
            <v>32.5</v>
          </cell>
          <cell r="U64" t="str">
            <v>d</v>
          </cell>
        </row>
        <row r="65">
          <cell r="A65">
            <v>100</v>
          </cell>
          <cell r="B65" t="str">
            <v>Pan de sal</v>
          </cell>
          <cell r="C65" t="str">
            <v>Pan</v>
          </cell>
          <cell r="D65" t="str">
            <v>De sal</v>
          </cell>
          <cell r="H65" t="str">
            <v>Mezclado</v>
          </cell>
          <cell r="I65" t="str">
            <v>Amasado</v>
          </cell>
          <cell r="J65" t="str">
            <v>Fermentado</v>
          </cell>
          <cell r="K65" t="str">
            <v>Horneado</v>
          </cell>
          <cell r="P65" t="str">
            <v>232</v>
          </cell>
          <cell r="Q65" t="str">
            <v>No reporta</v>
          </cell>
          <cell r="R65" t="str">
            <v>Pan de sal</v>
          </cell>
          <cell r="S65">
            <v>22.4</v>
          </cell>
          <cell r="U65" t="str">
            <v>d</v>
          </cell>
        </row>
        <row r="66">
          <cell r="A66">
            <v>101</v>
          </cell>
          <cell r="B66" t="str">
            <v>Pan francés</v>
          </cell>
          <cell r="C66" t="str">
            <v>Pan</v>
          </cell>
          <cell r="D66" t="str">
            <v>Francés</v>
          </cell>
          <cell r="H66" t="str">
            <v>Mezclado</v>
          </cell>
          <cell r="I66" t="str">
            <v>Amasado</v>
          </cell>
          <cell r="J66" t="str">
            <v>Fermentado</v>
          </cell>
          <cell r="K66" t="str">
            <v>Horneado</v>
          </cell>
          <cell r="P66" t="str">
            <v>Industria</v>
          </cell>
          <cell r="Q66" t="str">
            <v>Muestra comercial</v>
          </cell>
          <cell r="R66" t="str">
            <v>Pan francés</v>
          </cell>
          <cell r="S66">
            <v>25.3</v>
          </cell>
          <cell r="T66">
            <v>3.5</v>
          </cell>
          <cell r="U66" t="str">
            <v>a</v>
          </cell>
        </row>
        <row r="67">
          <cell r="A67">
            <v>102</v>
          </cell>
          <cell r="B67" t="str">
            <v>Pan girasol</v>
          </cell>
          <cell r="C67" t="str">
            <v>Pan</v>
          </cell>
          <cell r="D67" t="str">
            <v>Girasol</v>
          </cell>
          <cell r="H67" t="str">
            <v>Mezclado</v>
          </cell>
          <cell r="I67" t="str">
            <v>Amasado</v>
          </cell>
          <cell r="J67" t="str">
            <v>Fermentado</v>
          </cell>
          <cell r="K67" t="str">
            <v>Horneado</v>
          </cell>
          <cell r="P67" t="str">
            <v>Industria</v>
          </cell>
          <cell r="Q67" t="str">
            <v>Muestra comercial</v>
          </cell>
          <cell r="R67" t="str">
            <v>Pan girasol</v>
          </cell>
          <cell r="S67">
            <v>38.200000000000003</v>
          </cell>
          <cell r="T67">
            <v>0.4</v>
          </cell>
          <cell r="U67" t="str">
            <v>a</v>
          </cell>
        </row>
        <row r="68">
          <cell r="A68">
            <v>103</v>
          </cell>
          <cell r="B68" t="str">
            <v>Pan hamburguesa</v>
          </cell>
          <cell r="C68" t="str">
            <v>Pan</v>
          </cell>
          <cell r="D68" t="str">
            <v>Hamburguesa</v>
          </cell>
          <cell r="H68" t="str">
            <v>Mezclado</v>
          </cell>
          <cell r="I68" t="str">
            <v>Amasado</v>
          </cell>
          <cell r="J68" t="str">
            <v>Fermentado</v>
          </cell>
          <cell r="K68" t="str">
            <v>Horneado</v>
          </cell>
          <cell r="P68" t="str">
            <v>Industria</v>
          </cell>
          <cell r="Q68" t="str">
            <v>Muestra comercial</v>
          </cell>
          <cell r="R68" t="str">
            <v>Pan hamburguesa</v>
          </cell>
          <cell r="S68">
            <v>33.4</v>
          </cell>
          <cell r="T68">
            <v>0.4</v>
          </cell>
          <cell r="U68" t="str">
            <v>a</v>
          </cell>
        </row>
        <row r="69">
          <cell r="A69">
            <v>109</v>
          </cell>
          <cell r="B69" t="str">
            <v>Pan mantequilla</v>
          </cell>
          <cell r="C69" t="str">
            <v>Pan</v>
          </cell>
          <cell r="D69" t="str">
            <v>Mantequilla</v>
          </cell>
          <cell r="H69" t="str">
            <v>Mezclado</v>
          </cell>
          <cell r="I69" t="str">
            <v>Amasado</v>
          </cell>
          <cell r="J69" t="str">
            <v>Fermentado</v>
          </cell>
          <cell r="K69" t="str">
            <v>Horneado</v>
          </cell>
          <cell r="P69" t="str">
            <v>Industria</v>
          </cell>
          <cell r="Q69" t="str">
            <v>Muestra comercial</v>
          </cell>
          <cell r="R69" t="str">
            <v>Pan mantequilla</v>
          </cell>
          <cell r="S69">
            <v>29.9</v>
          </cell>
          <cell r="T69">
            <v>0.4</v>
          </cell>
          <cell r="U69" t="str">
            <v>a</v>
          </cell>
        </row>
        <row r="70">
          <cell r="A70">
            <v>110</v>
          </cell>
          <cell r="B70" t="str">
            <v>Pan mogolla</v>
          </cell>
          <cell r="C70" t="str">
            <v>Pan</v>
          </cell>
          <cell r="D70" t="str">
            <v>Mogolla</v>
          </cell>
          <cell r="E70" t="str">
            <v>Harina de trigo 2a, Y 3a,</v>
          </cell>
          <cell r="H70" t="str">
            <v>Mezclado</v>
          </cell>
          <cell r="I70" t="str">
            <v>Amasado</v>
          </cell>
          <cell r="J70" t="str">
            <v>Fermentado</v>
          </cell>
          <cell r="K70" t="str">
            <v>Horneado</v>
          </cell>
          <cell r="P70" t="str">
            <v>232</v>
          </cell>
          <cell r="Q70" t="str">
            <v>No reporta</v>
          </cell>
          <cell r="R70" t="str">
            <v>Pan mogolla</v>
          </cell>
          <cell r="S70">
            <v>23</v>
          </cell>
          <cell r="U70" t="str">
            <v>c</v>
          </cell>
        </row>
        <row r="71">
          <cell r="A71">
            <v>111</v>
          </cell>
          <cell r="B71" t="str">
            <v>Pan molde</v>
          </cell>
          <cell r="C71" t="str">
            <v>Pan</v>
          </cell>
          <cell r="D71" t="str">
            <v>Molde</v>
          </cell>
          <cell r="H71" t="str">
            <v>Mezclado</v>
          </cell>
          <cell r="I71" t="str">
            <v>Amasado</v>
          </cell>
          <cell r="J71" t="str">
            <v>Fermentado</v>
          </cell>
          <cell r="K71" t="str">
            <v>Horneado</v>
          </cell>
          <cell r="P71" t="str">
            <v>58, Industria</v>
          </cell>
          <cell r="Q71" t="str">
            <v>Muestra comercial</v>
          </cell>
          <cell r="R71" t="str">
            <v>Pan molde</v>
          </cell>
          <cell r="S71">
            <v>31.5</v>
          </cell>
          <cell r="T71">
            <v>0.9</v>
          </cell>
          <cell r="U71" t="str">
            <v>b</v>
          </cell>
        </row>
        <row r="72">
          <cell r="A72">
            <v>112</v>
          </cell>
          <cell r="B72" t="str">
            <v>Pan para perro</v>
          </cell>
          <cell r="C72" t="str">
            <v>Pan</v>
          </cell>
          <cell r="D72" t="str">
            <v>Para perro</v>
          </cell>
          <cell r="H72" t="str">
            <v>Mezclado</v>
          </cell>
          <cell r="I72" t="str">
            <v>Amasado</v>
          </cell>
          <cell r="J72" t="str">
            <v>Fermentado</v>
          </cell>
          <cell r="K72" t="str">
            <v>Horneado</v>
          </cell>
          <cell r="P72" t="str">
            <v>Industria</v>
          </cell>
          <cell r="Q72" t="str">
            <v>Muestra comercial</v>
          </cell>
          <cell r="R72" t="str">
            <v>Pan para perro</v>
          </cell>
          <cell r="S72">
            <v>24.7</v>
          </cell>
          <cell r="T72">
            <v>0.4</v>
          </cell>
          <cell r="U72" t="str">
            <v>a</v>
          </cell>
        </row>
        <row r="73">
          <cell r="A73">
            <v>113</v>
          </cell>
          <cell r="B73" t="str">
            <v>Pan rey</v>
          </cell>
          <cell r="C73" t="str">
            <v>Pan</v>
          </cell>
          <cell r="D73" t="str">
            <v>Rey</v>
          </cell>
          <cell r="H73" t="str">
            <v>Mezclado</v>
          </cell>
          <cell r="I73" t="str">
            <v>Amasado</v>
          </cell>
          <cell r="J73" t="str">
            <v>Fermentado</v>
          </cell>
          <cell r="K73" t="str">
            <v>Horneado</v>
          </cell>
          <cell r="P73" t="str">
            <v>Industria</v>
          </cell>
          <cell r="Q73" t="str">
            <v>Muestra comercial</v>
          </cell>
          <cell r="R73" t="str">
            <v>Pan rey</v>
          </cell>
          <cell r="S73">
            <v>25.4</v>
          </cell>
          <cell r="T73">
            <v>0.4</v>
          </cell>
          <cell r="U73" t="str">
            <v>a</v>
          </cell>
        </row>
        <row r="74">
          <cell r="A74">
            <v>117</v>
          </cell>
          <cell r="B74" t="str">
            <v>Pasta alimenticia</v>
          </cell>
          <cell r="C74" t="str">
            <v>Pasta</v>
          </cell>
          <cell r="D74" t="str">
            <v>Alimenticia</v>
          </cell>
          <cell r="H74" t="str">
            <v>Dosificado</v>
          </cell>
          <cell r="I74" t="str">
            <v>Amasado</v>
          </cell>
          <cell r="J74" t="str">
            <v>Extruido</v>
          </cell>
          <cell r="K74" t="str">
            <v>Secado</v>
          </cell>
          <cell r="P74" t="str">
            <v>232, 150, Industria</v>
          </cell>
          <cell r="Q74" t="str">
            <v>Muestra comercial</v>
          </cell>
          <cell r="R74" t="str">
            <v>Pasta alimenticia</v>
          </cell>
          <cell r="S74">
            <v>11.5</v>
          </cell>
          <cell r="T74">
            <v>1.2</v>
          </cell>
          <cell r="U74" t="str">
            <v>a</v>
          </cell>
        </row>
        <row r="75">
          <cell r="A75">
            <v>118</v>
          </cell>
          <cell r="B75" t="str">
            <v>Pasta alimenticia cocida</v>
          </cell>
          <cell r="C75" t="str">
            <v>Pasta</v>
          </cell>
          <cell r="D75" t="str">
            <v>Alimenticia cocida</v>
          </cell>
          <cell r="H75" t="str">
            <v>Dosificado y amasado</v>
          </cell>
          <cell r="I75" t="str">
            <v>Extruido</v>
          </cell>
          <cell r="J75" t="str">
            <v>Secado</v>
          </cell>
          <cell r="K75" t="str">
            <v>Cocido</v>
          </cell>
          <cell r="P75" t="str">
            <v>Industria</v>
          </cell>
          <cell r="Q75" t="str">
            <v>Muestra comercial</v>
          </cell>
          <cell r="R75" t="str">
            <v>Pasta alimenticia cocida</v>
          </cell>
          <cell r="S75">
            <v>8.8000000000000007</v>
          </cell>
          <cell r="T75">
            <v>0.4</v>
          </cell>
          <cell r="U75" t="str">
            <v>a</v>
          </cell>
        </row>
        <row r="76">
          <cell r="A76">
            <v>119</v>
          </cell>
          <cell r="B76" t="str">
            <v>Pasta alimenticia de semolina</v>
          </cell>
          <cell r="C76" t="str">
            <v>Pasta</v>
          </cell>
          <cell r="D76" t="str">
            <v>Alimenticia de semolina</v>
          </cell>
          <cell r="H76" t="str">
            <v>Dosificado</v>
          </cell>
          <cell r="I76" t="str">
            <v>Amasado</v>
          </cell>
          <cell r="J76" t="str">
            <v>Extruido</v>
          </cell>
          <cell r="K76" t="str">
            <v>Secado</v>
          </cell>
          <cell r="P76" t="str">
            <v>232</v>
          </cell>
          <cell r="Q76" t="str">
            <v>No reporta</v>
          </cell>
          <cell r="R76" t="str">
            <v>Pasta alimenticia de semolina</v>
          </cell>
          <cell r="S76">
            <v>14.5</v>
          </cell>
          <cell r="U76" t="str">
            <v>c</v>
          </cell>
        </row>
        <row r="77">
          <cell r="A77">
            <v>120</v>
          </cell>
          <cell r="B77" t="str">
            <v>Pasta alimenticia enriquecida</v>
          </cell>
          <cell r="C77" t="str">
            <v>Pasta</v>
          </cell>
          <cell r="D77" t="str">
            <v>Alimenticia enriquecida</v>
          </cell>
          <cell r="H77" t="str">
            <v>Dosificado</v>
          </cell>
          <cell r="I77" t="str">
            <v>Amasado</v>
          </cell>
          <cell r="J77" t="str">
            <v>Extruido</v>
          </cell>
          <cell r="K77" t="str">
            <v>Secado</v>
          </cell>
          <cell r="P77" t="str">
            <v>232</v>
          </cell>
          <cell r="Q77" t="str">
            <v>No reporta</v>
          </cell>
          <cell r="R77" t="str">
            <v>Pasta alimenticia enriquecida</v>
          </cell>
          <cell r="S77">
            <v>14.5</v>
          </cell>
          <cell r="U77" t="str">
            <v>c</v>
          </cell>
        </row>
        <row r="78">
          <cell r="A78">
            <v>122</v>
          </cell>
          <cell r="B78" t="str">
            <v>Pasta fina</v>
          </cell>
          <cell r="C78" t="str">
            <v>Pasta</v>
          </cell>
          <cell r="D78" t="str">
            <v>Fina</v>
          </cell>
          <cell r="H78" t="str">
            <v>Dosificado</v>
          </cell>
          <cell r="I78" t="str">
            <v>Amasado</v>
          </cell>
          <cell r="J78" t="str">
            <v>Extruido</v>
          </cell>
          <cell r="K78" t="str">
            <v>Secado</v>
          </cell>
          <cell r="P78" t="str">
            <v>91</v>
          </cell>
          <cell r="Q78" t="str">
            <v>Muestra comercial</v>
          </cell>
          <cell r="R78" t="str">
            <v>Pasta fina</v>
          </cell>
          <cell r="S78">
            <v>1.6</v>
          </cell>
          <cell r="T78">
            <v>0.2</v>
          </cell>
          <cell r="U78" t="str">
            <v>b</v>
          </cell>
        </row>
        <row r="79">
          <cell r="A79">
            <v>131</v>
          </cell>
          <cell r="B79" t="str">
            <v>Quinua</v>
          </cell>
          <cell r="C79" t="str">
            <v>Quinua</v>
          </cell>
          <cell r="H79" t="str">
            <v>Limpieza</v>
          </cell>
          <cell r="M79" t="str">
            <v>Chenopodium</v>
          </cell>
          <cell r="N79" t="str">
            <v>quinoa Will</v>
          </cell>
          <cell r="P79" t="str">
            <v>232</v>
          </cell>
          <cell r="Q79" t="str">
            <v>No reporta</v>
          </cell>
          <cell r="R79" t="str">
            <v>Quinua</v>
          </cell>
          <cell r="S79">
            <v>13</v>
          </cell>
          <cell r="U79" t="str">
            <v>d</v>
          </cell>
        </row>
        <row r="80">
          <cell r="A80">
            <v>133</v>
          </cell>
          <cell r="B80" t="str">
            <v>Roscas de cuajada y maíz</v>
          </cell>
          <cell r="C80" t="str">
            <v>Roscas</v>
          </cell>
          <cell r="D80" t="str">
            <v>De cuajada y maiz</v>
          </cell>
          <cell r="H80" t="str">
            <v>Mezclado</v>
          </cell>
          <cell r="I80" t="str">
            <v>Amasado</v>
          </cell>
          <cell r="J80" t="str">
            <v>Horneado</v>
          </cell>
          <cell r="P80" t="str">
            <v>232</v>
          </cell>
          <cell r="Q80" t="str">
            <v>No reporta</v>
          </cell>
          <cell r="R80" t="str">
            <v>Roscas de cuajada y maíz</v>
          </cell>
          <cell r="S80">
            <v>20.399999999999999</v>
          </cell>
          <cell r="U80" t="str">
            <v>d</v>
          </cell>
        </row>
        <row r="81">
          <cell r="A81">
            <v>134</v>
          </cell>
          <cell r="B81" t="str">
            <v>Roscas de maíz</v>
          </cell>
          <cell r="C81" t="str">
            <v>Roscas</v>
          </cell>
          <cell r="D81" t="str">
            <v>De maíz</v>
          </cell>
          <cell r="H81" t="str">
            <v>Mezclado</v>
          </cell>
          <cell r="I81" t="str">
            <v>Amasado</v>
          </cell>
          <cell r="J81" t="str">
            <v>Horneado</v>
          </cell>
          <cell r="P81" t="str">
            <v>232</v>
          </cell>
          <cell r="Q81" t="str">
            <v>No reporta</v>
          </cell>
          <cell r="R81" t="str">
            <v>Roscas de maíz</v>
          </cell>
          <cell r="S81">
            <v>19.3</v>
          </cell>
          <cell r="U81" t="str">
            <v>d</v>
          </cell>
        </row>
        <row r="82">
          <cell r="A82">
            <v>135</v>
          </cell>
          <cell r="B82" t="str">
            <v>Roscas de trigo</v>
          </cell>
          <cell r="C82" t="str">
            <v>Roscas</v>
          </cell>
          <cell r="D82" t="str">
            <v>De trigo</v>
          </cell>
          <cell r="H82" t="str">
            <v>Mezclado</v>
          </cell>
          <cell r="I82" t="str">
            <v>Amasado</v>
          </cell>
          <cell r="J82" t="str">
            <v>Horneado</v>
          </cell>
          <cell r="P82" t="str">
            <v>232</v>
          </cell>
          <cell r="Q82" t="str">
            <v>No reporta</v>
          </cell>
          <cell r="R82" t="str">
            <v>Roscas de trigo</v>
          </cell>
          <cell r="S82">
            <v>34.200000000000003</v>
          </cell>
          <cell r="U82" t="str">
            <v>d</v>
          </cell>
        </row>
        <row r="83">
          <cell r="A83">
            <v>136</v>
          </cell>
          <cell r="B83" t="str">
            <v>Roscón  con bocadillo</v>
          </cell>
          <cell r="C83" t="str">
            <v>Roscón</v>
          </cell>
          <cell r="D83" t="str">
            <v>Con bocadillo</v>
          </cell>
          <cell r="H83" t="str">
            <v>Mezclado</v>
          </cell>
          <cell r="I83" t="str">
            <v>Amasado</v>
          </cell>
          <cell r="J83" t="str">
            <v>Horneado</v>
          </cell>
          <cell r="P83" t="str">
            <v>Industria</v>
          </cell>
          <cell r="Q83" t="str">
            <v>Muestra comercial</v>
          </cell>
          <cell r="R83" t="str">
            <v>Roscón  con bocadillo</v>
          </cell>
          <cell r="S83">
            <v>20.100000000000001</v>
          </cell>
          <cell r="T83">
            <v>0.6</v>
          </cell>
          <cell r="U83" t="str">
            <v>a</v>
          </cell>
        </row>
        <row r="84">
          <cell r="A84">
            <v>137</v>
          </cell>
          <cell r="B84" t="str">
            <v>Roscón con arequipe</v>
          </cell>
          <cell r="C84" t="str">
            <v>Roscón</v>
          </cell>
          <cell r="D84" t="str">
            <v>Con arequipe</v>
          </cell>
          <cell r="H84" t="str">
            <v>Mezclado</v>
          </cell>
          <cell r="I84" t="str">
            <v>Amasado</v>
          </cell>
          <cell r="J84" t="str">
            <v>Horneado</v>
          </cell>
          <cell r="P84" t="str">
            <v>Industria</v>
          </cell>
          <cell r="Q84" t="str">
            <v>Muestra comercial</v>
          </cell>
          <cell r="R84" t="str">
            <v>Roscón con arequipe</v>
          </cell>
          <cell r="S84">
            <v>21</v>
          </cell>
          <cell r="T84">
            <v>0.3</v>
          </cell>
          <cell r="U84" t="str">
            <v>a</v>
          </cell>
        </row>
        <row r="85">
          <cell r="A85">
            <v>145</v>
          </cell>
          <cell r="B85" t="str">
            <v>Tostadas</v>
          </cell>
          <cell r="C85" t="str">
            <v>Pan</v>
          </cell>
          <cell r="D85" t="str">
            <v>Tostada</v>
          </cell>
          <cell r="H85" t="str">
            <v>Mezclado</v>
          </cell>
          <cell r="I85" t="str">
            <v>Amasado</v>
          </cell>
          <cell r="J85" t="str">
            <v>Horneado</v>
          </cell>
          <cell r="L85" t="str">
            <v>Calados</v>
          </cell>
          <cell r="P85" t="str">
            <v>232</v>
          </cell>
          <cell r="Q85" t="str">
            <v>No reporta</v>
          </cell>
          <cell r="R85" t="str">
            <v>Tostadas</v>
          </cell>
          <cell r="S85">
            <v>5.6</v>
          </cell>
          <cell r="U85" t="str">
            <v>d</v>
          </cell>
        </row>
        <row r="86">
          <cell r="A86">
            <v>148</v>
          </cell>
          <cell r="B86" t="str">
            <v>Trigo amazónico</v>
          </cell>
          <cell r="C86" t="str">
            <v>Trigo</v>
          </cell>
          <cell r="D86" t="str">
            <v>Amazónico</v>
          </cell>
          <cell r="F86" t="str">
            <v>Pulpa</v>
          </cell>
          <cell r="H86" t="str">
            <v>Limpieza</v>
          </cell>
          <cell r="I86" t="str">
            <v>Molido</v>
          </cell>
          <cell r="M86" t="str">
            <v>Triticum</v>
          </cell>
          <cell r="N86" t="str">
            <v>aestivum</v>
          </cell>
          <cell r="O86" t="str">
            <v>Amazónico</v>
          </cell>
          <cell r="P86" t="str">
            <v>230</v>
          </cell>
          <cell r="R86" t="str">
            <v>Trigo amazónico</v>
          </cell>
          <cell r="S86">
            <v>13</v>
          </cell>
          <cell r="U86" t="str">
            <v>a</v>
          </cell>
        </row>
        <row r="87">
          <cell r="A87">
            <v>149</v>
          </cell>
          <cell r="B87" t="str">
            <v>Trigo blando</v>
          </cell>
          <cell r="C87" t="str">
            <v>Trigo</v>
          </cell>
          <cell r="D87" t="str">
            <v>Blando</v>
          </cell>
          <cell r="F87" t="str">
            <v>Grano entero</v>
          </cell>
          <cell r="H87" t="str">
            <v>Limpieza</v>
          </cell>
          <cell r="I87" t="str">
            <v>Molido</v>
          </cell>
          <cell r="M87" t="str">
            <v>Triticum</v>
          </cell>
          <cell r="N87" t="str">
            <v>aestivum L</v>
          </cell>
          <cell r="P87" t="str">
            <v>232</v>
          </cell>
          <cell r="Q87" t="str">
            <v>No reporta</v>
          </cell>
          <cell r="R87" t="str">
            <v>Trigo blando</v>
          </cell>
          <cell r="S87">
            <v>13.5</v>
          </cell>
          <cell r="U87" t="str">
            <v>c</v>
          </cell>
        </row>
        <row r="88">
          <cell r="A88">
            <v>150</v>
          </cell>
          <cell r="B88" t="str">
            <v>Aceitunas</v>
          </cell>
          <cell r="C88" t="str">
            <v>Aceituna</v>
          </cell>
          <cell r="D88" t="str">
            <v>Encurtido</v>
          </cell>
          <cell r="F88" t="str">
            <v>Fruto</v>
          </cell>
          <cell r="H88" t="str">
            <v>Lavado y envasado</v>
          </cell>
          <cell r="I88" t="str">
            <v>Adición líquido de gobierno</v>
          </cell>
          <cell r="J88" t="str">
            <v>Cerrado</v>
          </cell>
          <cell r="K88" t="str">
            <v>Tratamiento térmico</v>
          </cell>
          <cell r="M88" t="str">
            <v>Olea</v>
          </cell>
          <cell r="N88" t="str">
            <v>eropaea L,</v>
          </cell>
          <cell r="P88" t="str">
            <v>232</v>
          </cell>
          <cell r="Q88" t="str">
            <v>No reporta</v>
          </cell>
          <cell r="R88" t="str">
            <v>Aceitunas</v>
          </cell>
          <cell r="S88">
            <v>75.8</v>
          </cell>
          <cell r="U88" t="str">
            <v>d</v>
          </cell>
        </row>
        <row r="89">
          <cell r="A89">
            <v>151</v>
          </cell>
          <cell r="B89" t="str">
            <v>Acelga, tallos</v>
          </cell>
          <cell r="C89" t="str">
            <v>Acelga</v>
          </cell>
          <cell r="F89" t="str">
            <v>Tallo, venas de las hojas</v>
          </cell>
          <cell r="H89" t="str">
            <v>Lavado</v>
          </cell>
          <cell r="M89" t="str">
            <v>Beta</v>
          </cell>
          <cell r="N89" t="str">
            <v>vulgaris</v>
          </cell>
          <cell r="O89" t="str">
            <v>Cicla L,</v>
          </cell>
          <cell r="P89" t="str">
            <v>232</v>
          </cell>
          <cell r="Q89" t="str">
            <v>No reporta</v>
          </cell>
          <cell r="R89" t="str">
            <v>Acelga, tallos</v>
          </cell>
          <cell r="S89">
            <v>94.5</v>
          </cell>
          <cell r="U89" t="str">
            <v>c</v>
          </cell>
        </row>
        <row r="90">
          <cell r="A90">
            <v>152</v>
          </cell>
          <cell r="B90" t="str">
            <v>Acelga, hojas</v>
          </cell>
          <cell r="C90" t="str">
            <v>Acelga</v>
          </cell>
          <cell r="F90" t="str">
            <v>Hoja sin venas</v>
          </cell>
          <cell r="H90" t="str">
            <v>Lavado</v>
          </cell>
          <cell r="M90" t="str">
            <v>Beta</v>
          </cell>
          <cell r="N90" t="str">
            <v>vulgaris</v>
          </cell>
          <cell r="O90" t="str">
            <v>Cicla L,</v>
          </cell>
          <cell r="P90" t="str">
            <v>232</v>
          </cell>
          <cell r="Q90" t="str">
            <v>No reporta</v>
          </cell>
          <cell r="R90" t="str">
            <v>Acelga, hojas</v>
          </cell>
          <cell r="S90">
            <v>90</v>
          </cell>
          <cell r="U90" t="str">
            <v>c</v>
          </cell>
        </row>
        <row r="91">
          <cell r="A91">
            <v>153</v>
          </cell>
          <cell r="B91" t="str">
            <v>Achira, raíz</v>
          </cell>
          <cell r="C91" t="str">
            <v>Achira</v>
          </cell>
          <cell r="F91" t="str">
            <v>Raíz</v>
          </cell>
          <cell r="H91" t="str">
            <v>Lavado</v>
          </cell>
          <cell r="L91" t="str">
            <v>Sagú</v>
          </cell>
          <cell r="M91" t="str">
            <v>Canna</v>
          </cell>
          <cell r="N91" t="str">
            <v>edulis ker</v>
          </cell>
          <cell r="P91" t="str">
            <v>232</v>
          </cell>
          <cell r="Q91" t="str">
            <v>No reporta</v>
          </cell>
          <cell r="R91" t="str">
            <v>Achira, raíz</v>
          </cell>
          <cell r="S91">
            <v>84.4</v>
          </cell>
          <cell r="U91" t="str">
            <v>d</v>
          </cell>
        </row>
        <row r="92">
          <cell r="A92">
            <v>154</v>
          </cell>
          <cell r="B92" t="str">
            <v>Ahuyama</v>
          </cell>
          <cell r="C92" t="str">
            <v>Ahuyama</v>
          </cell>
          <cell r="F92" t="str">
            <v>Pulpa</v>
          </cell>
          <cell r="G92" t="str">
            <v>Madura</v>
          </cell>
          <cell r="H92" t="str">
            <v>Lavado</v>
          </cell>
          <cell r="I92" t="str">
            <v>Extracción de pulpa</v>
          </cell>
          <cell r="J92" t="str">
            <v>Troceado</v>
          </cell>
          <cell r="L92" t="str">
            <v>Zapallo</v>
          </cell>
          <cell r="M92" t="str">
            <v>Cucurbita</v>
          </cell>
          <cell r="N92" t="str">
            <v>maxima</v>
          </cell>
          <cell r="P92" t="str">
            <v>232, 138</v>
          </cell>
          <cell r="Q92" t="str">
            <v>La Tebaida</v>
          </cell>
          <cell r="R92" t="str">
            <v>Ahuyama</v>
          </cell>
          <cell r="S92">
            <v>88.5</v>
          </cell>
          <cell r="T92">
            <v>0.3</v>
          </cell>
          <cell r="U92" t="str">
            <v>c</v>
          </cell>
        </row>
        <row r="93">
          <cell r="A93">
            <v>155</v>
          </cell>
          <cell r="B93" t="str">
            <v>Ahuyama</v>
          </cell>
          <cell r="C93" t="str">
            <v>Ahuyama</v>
          </cell>
          <cell r="F93" t="str">
            <v>Pulpa</v>
          </cell>
          <cell r="G93" t="str">
            <v>Madura</v>
          </cell>
          <cell r="H93" t="str">
            <v>Pelado</v>
          </cell>
          <cell r="I93" t="str">
            <v>Troceado</v>
          </cell>
          <cell r="J93" t="str">
            <v>Secado</v>
          </cell>
          <cell r="L93" t="str">
            <v>Zapallo</v>
          </cell>
          <cell r="M93" t="str">
            <v>Cucurbita</v>
          </cell>
          <cell r="N93" t="str">
            <v>mixta</v>
          </cell>
          <cell r="P93" t="str">
            <v>9</v>
          </cell>
          <cell r="Q93" t="str">
            <v>No reporta</v>
          </cell>
          <cell r="R93" t="str">
            <v>Ahuyama</v>
          </cell>
          <cell r="S93">
            <v>92.7</v>
          </cell>
          <cell r="T93">
            <v>0</v>
          </cell>
          <cell r="U93" t="str">
            <v>c</v>
          </cell>
        </row>
        <row r="94">
          <cell r="A94">
            <v>160</v>
          </cell>
          <cell r="B94" t="str">
            <v>Alcachofas</v>
          </cell>
          <cell r="C94" t="str">
            <v>Alcachofa</v>
          </cell>
          <cell r="D94" t="str">
            <v>Hortaliza</v>
          </cell>
          <cell r="F94" t="str">
            <v>Flor inmadura</v>
          </cell>
          <cell r="H94" t="str">
            <v>Lavado</v>
          </cell>
          <cell r="M94" t="str">
            <v>Cynara</v>
          </cell>
          <cell r="N94" t="str">
            <v>scolymus L,</v>
          </cell>
          <cell r="P94" t="str">
            <v>232</v>
          </cell>
          <cell r="Q94" t="str">
            <v>No reporta</v>
          </cell>
          <cell r="R94" t="str">
            <v>Alcachofas</v>
          </cell>
          <cell r="S94">
            <v>86.4</v>
          </cell>
          <cell r="U94" t="str">
            <v>c</v>
          </cell>
        </row>
        <row r="95">
          <cell r="A95">
            <v>161</v>
          </cell>
          <cell r="B95" t="str">
            <v>Alcaparras</v>
          </cell>
          <cell r="C95" t="str">
            <v>Alcaparras</v>
          </cell>
          <cell r="D95" t="str">
            <v>Encurtido</v>
          </cell>
          <cell r="F95" t="str">
            <v>Flores</v>
          </cell>
          <cell r="H95" t="str">
            <v>Lavado y envasado</v>
          </cell>
          <cell r="I95" t="str">
            <v>Adición líquido de gobierno</v>
          </cell>
          <cell r="J95" t="str">
            <v>Cerrado</v>
          </cell>
          <cell r="K95" t="str">
            <v>Tratamiento térmico</v>
          </cell>
          <cell r="M95" t="str">
            <v>Capparis</v>
          </cell>
          <cell r="N95" t="str">
            <v>sculenta</v>
          </cell>
          <cell r="P95" t="str">
            <v>232</v>
          </cell>
          <cell r="Q95" t="str">
            <v>No reporta</v>
          </cell>
          <cell r="R95" t="str">
            <v>Alcaparras</v>
          </cell>
          <cell r="S95">
            <v>78.599999999999994</v>
          </cell>
          <cell r="U95" t="str">
            <v>d</v>
          </cell>
        </row>
        <row r="96">
          <cell r="A96">
            <v>164</v>
          </cell>
          <cell r="B96" t="str">
            <v>Apio</v>
          </cell>
          <cell r="C96" t="str">
            <v>Apio</v>
          </cell>
          <cell r="D96" t="str">
            <v>Hortaliza</v>
          </cell>
          <cell r="F96" t="str">
            <v>Tallo sin hojas</v>
          </cell>
          <cell r="H96" t="str">
            <v>Lavado</v>
          </cell>
          <cell r="M96" t="str">
            <v>Apium</v>
          </cell>
          <cell r="N96" t="str">
            <v>graveolens L,</v>
          </cell>
          <cell r="P96" t="str">
            <v>232</v>
          </cell>
          <cell r="Q96" t="str">
            <v>No reporta</v>
          </cell>
          <cell r="R96" t="str">
            <v>Apio</v>
          </cell>
          <cell r="S96">
            <v>92.8</v>
          </cell>
          <cell r="U96" t="str">
            <v>c</v>
          </cell>
        </row>
        <row r="97">
          <cell r="A97">
            <v>165</v>
          </cell>
          <cell r="B97" t="str">
            <v>Arracacha amarilla</v>
          </cell>
          <cell r="C97" t="str">
            <v>Arracacha</v>
          </cell>
          <cell r="D97" t="str">
            <v>Amarilla</v>
          </cell>
          <cell r="F97" t="str">
            <v>Pulpa</v>
          </cell>
          <cell r="H97" t="str">
            <v>Lavado</v>
          </cell>
          <cell r="I97" t="str">
            <v>Pelado</v>
          </cell>
          <cell r="M97" t="str">
            <v>Arracacia</v>
          </cell>
          <cell r="N97" t="str">
            <v>xanthorrhiza</v>
          </cell>
          <cell r="O97" t="str">
            <v>Amarilla</v>
          </cell>
          <cell r="P97" t="str">
            <v>232, 227</v>
          </cell>
          <cell r="Q97" t="str">
            <v>Tolima</v>
          </cell>
          <cell r="R97" t="str">
            <v>Arracacha amarilla</v>
          </cell>
          <cell r="S97">
            <v>71.400000000000006</v>
          </cell>
          <cell r="T97">
            <v>2.2999999999999998</v>
          </cell>
          <cell r="U97" t="str">
            <v>b</v>
          </cell>
        </row>
        <row r="98">
          <cell r="A98">
            <v>166</v>
          </cell>
          <cell r="B98" t="str">
            <v>Arracacha blanca</v>
          </cell>
          <cell r="C98" t="str">
            <v>Arracacha</v>
          </cell>
          <cell r="D98" t="str">
            <v>Blanca</v>
          </cell>
          <cell r="H98" t="str">
            <v>Lavado</v>
          </cell>
          <cell r="M98" t="str">
            <v>Arracacia</v>
          </cell>
          <cell r="N98" t="str">
            <v>xanthorrhiza</v>
          </cell>
          <cell r="O98" t="str">
            <v>Blanca</v>
          </cell>
          <cell r="P98" t="str">
            <v>232, 228</v>
          </cell>
          <cell r="Q98" t="str">
            <v>Tolima</v>
          </cell>
          <cell r="R98" t="str">
            <v>Arracacha blanca</v>
          </cell>
          <cell r="S98">
            <v>72.7</v>
          </cell>
          <cell r="T98">
            <v>2.6</v>
          </cell>
          <cell r="U98" t="str">
            <v>b</v>
          </cell>
        </row>
        <row r="99">
          <cell r="A99">
            <v>167</v>
          </cell>
          <cell r="B99" t="str">
            <v>Arracacha morada</v>
          </cell>
          <cell r="C99" t="str">
            <v>Arracacha</v>
          </cell>
          <cell r="D99" t="str">
            <v>Morada</v>
          </cell>
          <cell r="H99" t="str">
            <v>Lavado</v>
          </cell>
          <cell r="M99" t="str">
            <v>Arracacia</v>
          </cell>
          <cell r="N99" t="str">
            <v>xanthorrhiza</v>
          </cell>
          <cell r="O99" t="str">
            <v>Morada</v>
          </cell>
          <cell r="P99" t="str">
            <v>232, 229</v>
          </cell>
          <cell r="Q99" t="str">
            <v>Tolima</v>
          </cell>
          <cell r="R99" t="str">
            <v>Arracacha morada</v>
          </cell>
          <cell r="S99">
            <v>71.5</v>
          </cell>
          <cell r="T99">
            <v>0.8</v>
          </cell>
          <cell r="U99" t="str">
            <v>b</v>
          </cell>
        </row>
        <row r="100">
          <cell r="A100">
            <v>168</v>
          </cell>
          <cell r="B100" t="str">
            <v>Arveja verde</v>
          </cell>
          <cell r="C100" t="str">
            <v>Arveja</v>
          </cell>
          <cell r="D100" t="str">
            <v>Verde</v>
          </cell>
          <cell r="F100" t="str">
            <v>Grano entero</v>
          </cell>
          <cell r="G100" t="str">
            <v>Verde</v>
          </cell>
          <cell r="H100" t="str">
            <v>Lavado</v>
          </cell>
          <cell r="L100" t="str">
            <v>Alverja</v>
          </cell>
          <cell r="M100" t="str">
            <v>Pisum</v>
          </cell>
          <cell r="N100" t="str">
            <v>sativum L,</v>
          </cell>
          <cell r="P100" t="str">
            <v>232</v>
          </cell>
          <cell r="Q100" t="str">
            <v>No reporta</v>
          </cell>
          <cell r="R100" t="str">
            <v>Arveja verde</v>
          </cell>
          <cell r="S100">
            <v>66.400000000000006</v>
          </cell>
          <cell r="U100" t="str">
            <v>d</v>
          </cell>
        </row>
        <row r="101">
          <cell r="A101">
            <v>169</v>
          </cell>
          <cell r="B101" t="str">
            <v>Arveja verde, cocida</v>
          </cell>
          <cell r="C101" t="str">
            <v>Arveja</v>
          </cell>
          <cell r="D101" t="str">
            <v>Verde</v>
          </cell>
          <cell r="F101" t="str">
            <v>Grano entero</v>
          </cell>
          <cell r="G101" t="str">
            <v>Madurez fisiológica</v>
          </cell>
          <cell r="H101" t="str">
            <v>Cocido</v>
          </cell>
          <cell r="I101" t="str">
            <v>Escurrido</v>
          </cell>
          <cell r="L101" t="str">
            <v>Alverja</v>
          </cell>
          <cell r="M101" t="str">
            <v>Pisum</v>
          </cell>
          <cell r="N101" t="str">
            <v>sativum L</v>
          </cell>
          <cell r="P101" t="str">
            <v>234, 235</v>
          </cell>
          <cell r="Q101" t="str">
            <v>No reporta</v>
          </cell>
          <cell r="R101" t="str">
            <v>Arveja verde, cocida</v>
          </cell>
          <cell r="S101">
            <v>77.900000000000006</v>
          </cell>
          <cell r="U101" t="str">
            <v>d</v>
          </cell>
        </row>
        <row r="102">
          <cell r="A102">
            <v>170</v>
          </cell>
          <cell r="B102" t="str">
            <v>Balú</v>
          </cell>
          <cell r="C102" t="str">
            <v>Balú</v>
          </cell>
          <cell r="F102" t="str">
            <v>Semilla</v>
          </cell>
          <cell r="H102" t="str">
            <v>Lavado</v>
          </cell>
          <cell r="I102" t="str">
            <v>Extracción semilla</v>
          </cell>
          <cell r="L102" t="str">
            <v>Chachafruto</v>
          </cell>
          <cell r="M102" t="str">
            <v>Erythrina</v>
          </cell>
          <cell r="N102" t="str">
            <v>edulis</v>
          </cell>
          <cell r="P102" t="str">
            <v>232</v>
          </cell>
          <cell r="Q102" t="str">
            <v>No reporta</v>
          </cell>
          <cell r="R102" t="str">
            <v>Balú</v>
          </cell>
          <cell r="S102">
            <v>80.5</v>
          </cell>
          <cell r="U102" t="str">
            <v>c</v>
          </cell>
        </row>
        <row r="103">
          <cell r="A103">
            <v>171</v>
          </cell>
          <cell r="B103" t="str">
            <v>Batata</v>
          </cell>
          <cell r="C103" t="str">
            <v>Batata</v>
          </cell>
          <cell r="F103" t="str">
            <v>Tubérculo, sin cáscara</v>
          </cell>
          <cell r="H103" t="str">
            <v>Lavado</v>
          </cell>
          <cell r="I103" t="str">
            <v>Pelado</v>
          </cell>
          <cell r="M103" t="str">
            <v>Ipomaea</v>
          </cell>
          <cell r="N103" t="str">
            <v>batatas L,</v>
          </cell>
          <cell r="P103" t="str">
            <v>232</v>
          </cell>
          <cell r="Q103" t="str">
            <v>No reporta</v>
          </cell>
          <cell r="R103" t="str">
            <v>Batata</v>
          </cell>
          <cell r="S103">
            <v>75.8</v>
          </cell>
          <cell r="U103" t="str">
            <v>c</v>
          </cell>
        </row>
        <row r="104">
          <cell r="A104">
            <v>174</v>
          </cell>
          <cell r="B104" t="str">
            <v>Berenjena</v>
          </cell>
          <cell r="C104" t="str">
            <v>Berenjena</v>
          </cell>
          <cell r="F104" t="str">
            <v>Pulpa sin cáscara</v>
          </cell>
          <cell r="H104" t="str">
            <v>Lavado</v>
          </cell>
          <cell r="I104" t="str">
            <v>Pelado</v>
          </cell>
          <cell r="L104" t="str">
            <v>Pepino morado</v>
          </cell>
          <cell r="M104" t="str">
            <v>Solanum</v>
          </cell>
          <cell r="N104" t="str">
            <v>melongena L,</v>
          </cell>
          <cell r="P104" t="str">
            <v>232</v>
          </cell>
          <cell r="Q104" t="str">
            <v>No reporta</v>
          </cell>
          <cell r="R104" t="str">
            <v>Berenjena</v>
          </cell>
          <cell r="S104">
            <v>92.6</v>
          </cell>
          <cell r="U104" t="str">
            <v>c</v>
          </cell>
        </row>
        <row r="105">
          <cell r="A105">
            <v>175</v>
          </cell>
          <cell r="B105" t="str">
            <v>Berenjena, cocida</v>
          </cell>
          <cell r="C105" t="str">
            <v>Berenjena</v>
          </cell>
          <cell r="F105" t="str">
            <v>Entera</v>
          </cell>
          <cell r="G105" t="str">
            <v>Maduro</v>
          </cell>
          <cell r="H105" t="str">
            <v>Cocido</v>
          </cell>
          <cell r="I105" t="str">
            <v>Escurrido</v>
          </cell>
          <cell r="L105" t="str">
            <v>Pepino morado</v>
          </cell>
          <cell r="M105" t="str">
            <v>Solanum</v>
          </cell>
          <cell r="N105" t="str">
            <v>melongena</v>
          </cell>
          <cell r="P105" t="str">
            <v>234, 235</v>
          </cell>
          <cell r="R105" t="str">
            <v>Berenjena, cocida</v>
          </cell>
          <cell r="S105">
            <v>91.8</v>
          </cell>
          <cell r="U105" t="str">
            <v>d</v>
          </cell>
        </row>
        <row r="106">
          <cell r="A106">
            <v>176</v>
          </cell>
          <cell r="B106" t="str">
            <v>Berro</v>
          </cell>
          <cell r="C106" t="str">
            <v>Berro</v>
          </cell>
          <cell r="F106" t="str">
            <v>Hojas</v>
          </cell>
          <cell r="H106" t="str">
            <v>Lavado</v>
          </cell>
          <cell r="L106" t="str">
            <v>Mostualla, roqueta</v>
          </cell>
          <cell r="M106" t="str">
            <v>Nasturtium</v>
          </cell>
          <cell r="N106" t="str">
            <v>officinale R, Br</v>
          </cell>
          <cell r="P106" t="str">
            <v>232</v>
          </cell>
          <cell r="Q106" t="str">
            <v>No reporta</v>
          </cell>
          <cell r="R106" t="str">
            <v>Berro</v>
          </cell>
          <cell r="S106">
            <v>93.6</v>
          </cell>
          <cell r="U106" t="str">
            <v>c</v>
          </cell>
        </row>
        <row r="107">
          <cell r="A107">
            <v>177</v>
          </cell>
          <cell r="B107" t="str">
            <v>Bore, cormo</v>
          </cell>
          <cell r="C107" t="str">
            <v>Bore</v>
          </cell>
          <cell r="F107" t="str">
            <v>Cormo</v>
          </cell>
          <cell r="H107" t="str">
            <v>Lavado</v>
          </cell>
          <cell r="I107" t="str">
            <v>Pelado</v>
          </cell>
          <cell r="M107" t="str">
            <v>Colocasia</v>
          </cell>
          <cell r="N107" t="str">
            <v>esculenta</v>
          </cell>
          <cell r="P107" t="str">
            <v>232, 183</v>
          </cell>
          <cell r="Q107" t="str">
            <v>Valle</v>
          </cell>
          <cell r="R107" t="str">
            <v>Bore, cormo</v>
          </cell>
          <cell r="S107">
            <v>75</v>
          </cell>
          <cell r="T107">
            <v>1.2</v>
          </cell>
          <cell r="U107" t="str">
            <v>b</v>
          </cell>
        </row>
        <row r="108">
          <cell r="A108">
            <v>178</v>
          </cell>
          <cell r="B108" t="str">
            <v>Bore, hoja</v>
          </cell>
          <cell r="C108" t="str">
            <v>Bore</v>
          </cell>
          <cell r="F108" t="str">
            <v>Hojas</v>
          </cell>
          <cell r="H108" t="str">
            <v>Lavado</v>
          </cell>
          <cell r="I108" t="str">
            <v>Pelado</v>
          </cell>
          <cell r="M108" t="str">
            <v>Colocasia</v>
          </cell>
          <cell r="N108" t="str">
            <v>esculenta</v>
          </cell>
          <cell r="P108" t="str">
            <v>183, 219</v>
          </cell>
          <cell r="Q108" t="str">
            <v>Valle, Cauca</v>
          </cell>
          <cell r="R108" t="str">
            <v>Bore, hoja</v>
          </cell>
          <cell r="S108">
            <v>80.099999999999994</v>
          </cell>
          <cell r="T108">
            <v>2.1</v>
          </cell>
          <cell r="U108" t="str">
            <v>b</v>
          </cell>
        </row>
        <row r="109">
          <cell r="A109">
            <v>179</v>
          </cell>
          <cell r="B109" t="str">
            <v>Bore, tallo</v>
          </cell>
          <cell r="C109" t="str">
            <v>Bore</v>
          </cell>
          <cell r="F109" t="str">
            <v>Tallo</v>
          </cell>
          <cell r="H109" t="str">
            <v>Lavado</v>
          </cell>
          <cell r="I109" t="str">
            <v>Pelado</v>
          </cell>
          <cell r="M109" t="str">
            <v>Colocasia</v>
          </cell>
          <cell r="N109" t="str">
            <v>esculenta</v>
          </cell>
          <cell r="P109">
            <v>183.21899999999999</v>
          </cell>
          <cell r="Q109" t="str">
            <v>Valle, Cauca</v>
          </cell>
          <cell r="R109" t="str">
            <v>Bore, tallo</v>
          </cell>
          <cell r="S109">
            <v>90.3</v>
          </cell>
          <cell r="T109">
            <v>3.3</v>
          </cell>
          <cell r="U109" t="str">
            <v>b</v>
          </cell>
        </row>
        <row r="110">
          <cell r="A110">
            <v>180</v>
          </cell>
          <cell r="B110" t="str">
            <v>Brócoli</v>
          </cell>
          <cell r="C110" t="str">
            <v>Brócoli</v>
          </cell>
          <cell r="F110" t="str">
            <v>Tallo y flor</v>
          </cell>
          <cell r="G110" t="str">
            <v>Tiernos</v>
          </cell>
          <cell r="H110" t="str">
            <v>Lavado</v>
          </cell>
          <cell r="L110" t="str">
            <v>Broculi, Brecol</v>
          </cell>
          <cell r="M110" t="str">
            <v>Brassica</v>
          </cell>
          <cell r="N110" t="str">
            <v>oleracea</v>
          </cell>
          <cell r="O110" t="str">
            <v>Botrytis L,</v>
          </cell>
          <cell r="P110" t="str">
            <v>232</v>
          </cell>
          <cell r="Q110" t="str">
            <v>No reporta</v>
          </cell>
          <cell r="R110" t="str">
            <v>Brócoli</v>
          </cell>
          <cell r="S110">
            <v>88.9</v>
          </cell>
          <cell r="U110" t="str">
            <v>c</v>
          </cell>
        </row>
        <row r="111">
          <cell r="A111">
            <v>181</v>
          </cell>
          <cell r="B111" t="str">
            <v>Calabaza</v>
          </cell>
          <cell r="C111" t="str">
            <v>Calabaza</v>
          </cell>
          <cell r="F111" t="str">
            <v>Fruto sin cáscara</v>
          </cell>
          <cell r="H111" t="str">
            <v>Lavado</v>
          </cell>
          <cell r="I111" t="str">
            <v>Pelado</v>
          </cell>
          <cell r="M111" t="str">
            <v>Cucurbita</v>
          </cell>
          <cell r="N111" t="str">
            <v>pepo L,</v>
          </cell>
          <cell r="P111" t="str">
            <v>232</v>
          </cell>
          <cell r="Q111" t="str">
            <v>No reporta</v>
          </cell>
          <cell r="R111" t="str">
            <v>Calabaza</v>
          </cell>
          <cell r="S111">
            <v>93.9</v>
          </cell>
          <cell r="U111" t="str">
            <v>c</v>
          </cell>
        </row>
        <row r="112">
          <cell r="A112">
            <v>183</v>
          </cell>
          <cell r="B112" t="str">
            <v>Cardo</v>
          </cell>
          <cell r="C112" t="str">
            <v>Cardo</v>
          </cell>
          <cell r="F112" t="str">
            <v>Tallos y hoja</v>
          </cell>
          <cell r="H112" t="str">
            <v>Lavado</v>
          </cell>
          <cell r="M112" t="str">
            <v>Cynara</v>
          </cell>
          <cell r="N112" t="str">
            <v>cardunculos Spr,</v>
          </cell>
          <cell r="P112" t="str">
            <v>232</v>
          </cell>
          <cell r="Q112" t="str">
            <v>No reporta</v>
          </cell>
          <cell r="R112" t="str">
            <v>Cardo</v>
          </cell>
          <cell r="S112">
            <v>94</v>
          </cell>
          <cell r="U112" t="str">
            <v>c</v>
          </cell>
        </row>
        <row r="113">
          <cell r="A113">
            <v>184</v>
          </cell>
          <cell r="B113" t="str">
            <v>Cebolla cabezona</v>
          </cell>
          <cell r="C113" t="str">
            <v>Cebolla</v>
          </cell>
          <cell r="D113" t="str">
            <v>Cabezona</v>
          </cell>
          <cell r="F113" t="str">
            <v>Huevo</v>
          </cell>
          <cell r="H113" t="str">
            <v>Lavado</v>
          </cell>
          <cell r="M113" t="str">
            <v>Allium</v>
          </cell>
          <cell r="N113" t="str">
            <v>fistilosum L</v>
          </cell>
          <cell r="P113" t="str">
            <v>232, 241</v>
          </cell>
          <cell r="Q113" t="str">
            <v>No reporta</v>
          </cell>
          <cell r="R113" t="str">
            <v>Cebolla cabezona</v>
          </cell>
          <cell r="S113">
            <v>90.4</v>
          </cell>
          <cell r="T113">
            <v>0.6</v>
          </cell>
          <cell r="U113" t="str">
            <v>c</v>
          </cell>
        </row>
        <row r="114">
          <cell r="A114">
            <v>185</v>
          </cell>
          <cell r="B114" t="str">
            <v>Cebolla común, hojas</v>
          </cell>
          <cell r="C114" t="str">
            <v>Cebolla</v>
          </cell>
          <cell r="D114" t="str">
            <v>Común</v>
          </cell>
          <cell r="F114" t="str">
            <v>Hojas</v>
          </cell>
          <cell r="H114" t="str">
            <v>Lavado</v>
          </cell>
          <cell r="M114" t="str">
            <v>Allium</v>
          </cell>
          <cell r="N114" t="str">
            <v>cepa L,</v>
          </cell>
          <cell r="P114" t="str">
            <v>232</v>
          </cell>
          <cell r="Q114" t="str">
            <v>No reporta</v>
          </cell>
          <cell r="R114" t="str">
            <v>Cebolla común, hojas</v>
          </cell>
          <cell r="S114">
            <v>90.3</v>
          </cell>
          <cell r="U114" t="str">
            <v>c</v>
          </cell>
        </row>
        <row r="115">
          <cell r="A115">
            <v>186</v>
          </cell>
          <cell r="B115" t="str">
            <v>Cebolla junca</v>
          </cell>
          <cell r="C115" t="str">
            <v>Cebolla</v>
          </cell>
          <cell r="D115" t="str">
            <v>Junca</v>
          </cell>
          <cell r="F115" t="str">
            <v>Tallo</v>
          </cell>
          <cell r="H115" t="str">
            <v>Lavado</v>
          </cell>
          <cell r="I115" t="str">
            <v>Pelado</v>
          </cell>
          <cell r="J115" t="str">
            <v>Corte de las hojas</v>
          </cell>
          <cell r="L115" t="str">
            <v>Cebolla larga</v>
          </cell>
          <cell r="M115" t="str">
            <v>Allium</v>
          </cell>
          <cell r="N115" t="str">
            <v>fistolosum L,</v>
          </cell>
          <cell r="P115" t="str">
            <v>232, 136, 241</v>
          </cell>
          <cell r="Q115" t="str">
            <v>Boyacá y Cundinamarca</v>
          </cell>
          <cell r="R115" t="str">
            <v>Cebolla junca</v>
          </cell>
          <cell r="S115">
            <v>91.4</v>
          </cell>
          <cell r="T115">
            <v>1.1000000000000001</v>
          </cell>
          <cell r="U115" t="str">
            <v>a</v>
          </cell>
        </row>
        <row r="116">
          <cell r="A116">
            <v>187</v>
          </cell>
          <cell r="B116" t="str">
            <v>Cebolla puerro, tallo</v>
          </cell>
          <cell r="C116" t="str">
            <v>Cebolla</v>
          </cell>
          <cell r="D116" t="str">
            <v>Puerro</v>
          </cell>
          <cell r="F116" t="str">
            <v>Tallo</v>
          </cell>
          <cell r="H116" t="str">
            <v>Lavado</v>
          </cell>
          <cell r="M116" t="str">
            <v>Allium</v>
          </cell>
          <cell r="N116" t="str">
            <v>porrum L,</v>
          </cell>
          <cell r="P116" t="str">
            <v>232</v>
          </cell>
          <cell r="Q116" t="str">
            <v>No reporta</v>
          </cell>
          <cell r="R116" t="str">
            <v>Cebolla puerro, tallo</v>
          </cell>
          <cell r="S116">
            <v>82.4</v>
          </cell>
          <cell r="U116" t="str">
            <v>c</v>
          </cell>
        </row>
        <row r="117">
          <cell r="A117">
            <v>188</v>
          </cell>
          <cell r="B117" t="str">
            <v>Champiñón</v>
          </cell>
          <cell r="C117" t="str">
            <v>Champiñón</v>
          </cell>
          <cell r="D117" t="str">
            <v>Hongo</v>
          </cell>
          <cell r="F117" t="str">
            <v>Entero</v>
          </cell>
          <cell r="G117" t="str">
            <v>Maduro</v>
          </cell>
          <cell r="H117" t="str">
            <v>Lavado</v>
          </cell>
          <cell r="M117" t="str">
            <v>Agaricus</v>
          </cell>
          <cell r="N117" t="str">
            <v>campestris</v>
          </cell>
          <cell r="P117" t="str">
            <v>232, 114</v>
          </cell>
          <cell r="Q117" t="str">
            <v>Muestra comercial</v>
          </cell>
          <cell r="R117" t="str">
            <v>Champiñón</v>
          </cell>
          <cell r="S117">
            <v>91.7</v>
          </cell>
          <cell r="T117">
            <v>1.8</v>
          </cell>
          <cell r="U117" t="str">
            <v>b</v>
          </cell>
        </row>
        <row r="118">
          <cell r="A118">
            <v>189</v>
          </cell>
          <cell r="B118" t="str">
            <v>Cilantro</v>
          </cell>
          <cell r="C118" t="str">
            <v>Cilantro</v>
          </cell>
          <cell r="F118" t="str">
            <v>Hoja tierna</v>
          </cell>
          <cell r="H118" t="str">
            <v>Lavado</v>
          </cell>
          <cell r="M118" t="str">
            <v>Coriandrum</v>
          </cell>
          <cell r="N118" t="str">
            <v>sativum L,</v>
          </cell>
          <cell r="P118" t="str">
            <v>232</v>
          </cell>
          <cell r="Q118" t="str">
            <v>No reporta</v>
          </cell>
          <cell r="R118" t="str">
            <v>Cilantro</v>
          </cell>
          <cell r="S118">
            <v>83</v>
          </cell>
          <cell r="U118" t="str">
            <v>c</v>
          </cell>
        </row>
        <row r="119">
          <cell r="A119">
            <v>190</v>
          </cell>
          <cell r="B119" t="str">
            <v>Coliflor</v>
          </cell>
          <cell r="C119" t="str">
            <v>Coliflor</v>
          </cell>
          <cell r="F119" t="str">
            <v>Flor</v>
          </cell>
          <cell r="H119" t="str">
            <v>Lavado</v>
          </cell>
          <cell r="M119" t="str">
            <v>Brassica</v>
          </cell>
          <cell r="N119" t="str">
            <v>oleracea</v>
          </cell>
          <cell r="O119" t="str">
            <v>Botrytis L,</v>
          </cell>
          <cell r="P119" t="str">
            <v>232</v>
          </cell>
          <cell r="Q119" t="str">
            <v>No reporta</v>
          </cell>
          <cell r="R119" t="str">
            <v>Coliflor</v>
          </cell>
          <cell r="S119">
            <v>89.7</v>
          </cell>
          <cell r="U119" t="str">
            <v>c</v>
          </cell>
        </row>
        <row r="120">
          <cell r="A120">
            <v>191</v>
          </cell>
          <cell r="B120" t="str">
            <v>Coliflor, cocido</v>
          </cell>
          <cell r="C120" t="str">
            <v>Coliflor</v>
          </cell>
          <cell r="F120" t="str">
            <v>Entero</v>
          </cell>
          <cell r="G120" t="str">
            <v>Madurez fisiológica</v>
          </cell>
          <cell r="H120" t="str">
            <v>Cocido</v>
          </cell>
          <cell r="I120" t="str">
            <v>Escurrido</v>
          </cell>
          <cell r="M120" t="str">
            <v>Brassica</v>
          </cell>
          <cell r="N120" t="str">
            <v>oleracea</v>
          </cell>
          <cell r="P120" t="str">
            <v>234, 235</v>
          </cell>
          <cell r="R120" t="str">
            <v>Coliflor, cocido</v>
          </cell>
          <cell r="S120">
            <v>92.5</v>
          </cell>
          <cell r="U120" t="str">
            <v>d</v>
          </cell>
        </row>
        <row r="121">
          <cell r="A121">
            <v>192</v>
          </cell>
          <cell r="B121" t="str">
            <v>Colinabo</v>
          </cell>
          <cell r="C121" t="str">
            <v>Colinabo</v>
          </cell>
          <cell r="F121" t="str">
            <v>Túberculo sin cáscara</v>
          </cell>
          <cell r="H121" t="str">
            <v>Lavado</v>
          </cell>
          <cell r="I121" t="str">
            <v>Pelado</v>
          </cell>
          <cell r="M121" t="str">
            <v>Brassica</v>
          </cell>
          <cell r="N121" t="str">
            <v>oleracea</v>
          </cell>
          <cell r="O121" t="str">
            <v>Gongyloides L,</v>
          </cell>
          <cell r="P121" t="str">
            <v>232</v>
          </cell>
          <cell r="Q121" t="str">
            <v>No reporta</v>
          </cell>
          <cell r="R121" t="str">
            <v>Colinabo</v>
          </cell>
          <cell r="S121">
            <v>91.6</v>
          </cell>
          <cell r="U121" t="str">
            <v>c</v>
          </cell>
        </row>
        <row r="122">
          <cell r="A122">
            <v>194</v>
          </cell>
          <cell r="B122" t="str">
            <v>Cubio</v>
          </cell>
          <cell r="C122" t="str">
            <v>Cubio</v>
          </cell>
          <cell r="F122" t="str">
            <v>Tubérculo con cáscara</v>
          </cell>
          <cell r="H122" t="str">
            <v>Lavado</v>
          </cell>
          <cell r="M122" t="str">
            <v>Tropaeolum</v>
          </cell>
          <cell r="N122" t="str">
            <v>tuberosum</v>
          </cell>
          <cell r="P122" t="str">
            <v>232, 112</v>
          </cell>
          <cell r="Q122" t="str">
            <v>Cundinamarca</v>
          </cell>
          <cell r="R122" t="str">
            <v>Cubio</v>
          </cell>
          <cell r="S122">
            <v>83.4</v>
          </cell>
          <cell r="U122" t="str">
            <v>c</v>
          </cell>
        </row>
        <row r="123">
          <cell r="A123">
            <v>195</v>
          </cell>
          <cell r="B123" t="str">
            <v>Cubio amarillo</v>
          </cell>
          <cell r="C123" t="str">
            <v>Cubio</v>
          </cell>
          <cell r="D123" t="str">
            <v>Amarillo</v>
          </cell>
          <cell r="F123" t="str">
            <v>Pulpa</v>
          </cell>
          <cell r="H123" t="str">
            <v>Lavado</v>
          </cell>
          <cell r="M123" t="str">
            <v>Tropaeolum</v>
          </cell>
          <cell r="N123" t="str">
            <v>tuberosum</v>
          </cell>
          <cell r="O123" t="str">
            <v>Amarillo</v>
          </cell>
          <cell r="P123" t="str">
            <v>108</v>
          </cell>
          <cell r="Q123" t="str">
            <v>No reporta</v>
          </cell>
          <cell r="R123" t="str">
            <v>Cubio amarillo</v>
          </cell>
          <cell r="S123">
            <v>86.8</v>
          </cell>
          <cell r="T123">
            <v>1.9</v>
          </cell>
          <cell r="U123" t="str">
            <v>b</v>
          </cell>
        </row>
        <row r="124">
          <cell r="A124">
            <v>196</v>
          </cell>
          <cell r="B124" t="str">
            <v>Cubio blanco</v>
          </cell>
          <cell r="C124" t="str">
            <v>Cubio</v>
          </cell>
          <cell r="D124" t="str">
            <v>Blanco</v>
          </cell>
          <cell r="F124" t="str">
            <v>Pulpa</v>
          </cell>
          <cell r="H124" t="str">
            <v>Lavado</v>
          </cell>
          <cell r="M124" t="str">
            <v>Tropaeolum</v>
          </cell>
          <cell r="N124" t="str">
            <v>tuberosum</v>
          </cell>
          <cell r="O124" t="str">
            <v>Blanco</v>
          </cell>
          <cell r="P124" t="str">
            <v>108</v>
          </cell>
          <cell r="Q124" t="str">
            <v>No reporta</v>
          </cell>
          <cell r="R124" t="str">
            <v>Cubio blanco</v>
          </cell>
          <cell r="S124">
            <v>91</v>
          </cell>
          <cell r="T124">
            <v>1.5</v>
          </cell>
          <cell r="U124" t="str">
            <v>b</v>
          </cell>
        </row>
        <row r="125">
          <cell r="A125">
            <v>198</v>
          </cell>
          <cell r="B125" t="str">
            <v>Espárrago</v>
          </cell>
          <cell r="C125" t="str">
            <v>Espárrago</v>
          </cell>
          <cell r="F125" t="str">
            <v>Entero</v>
          </cell>
          <cell r="G125" t="str">
            <v>Madurez fisiológica</v>
          </cell>
          <cell r="H125" t="str">
            <v>Lavado</v>
          </cell>
          <cell r="M125" t="str">
            <v>Asparagus</v>
          </cell>
          <cell r="N125" t="str">
            <v>officinalis</v>
          </cell>
          <cell r="P125" t="str">
            <v>234, 235</v>
          </cell>
          <cell r="R125" t="str">
            <v>Espárrago</v>
          </cell>
          <cell r="S125">
            <v>92.7</v>
          </cell>
          <cell r="U125" t="str">
            <v>d</v>
          </cell>
        </row>
        <row r="126">
          <cell r="A126">
            <v>199</v>
          </cell>
          <cell r="B126" t="str">
            <v>Espárrago, cocido</v>
          </cell>
          <cell r="C126" t="str">
            <v>Espárrago</v>
          </cell>
          <cell r="F126" t="str">
            <v>Entero</v>
          </cell>
          <cell r="G126" t="str">
            <v>Madurez fisiológica</v>
          </cell>
          <cell r="H126" t="str">
            <v>Cocido</v>
          </cell>
          <cell r="I126" t="str">
            <v>Escurrido</v>
          </cell>
          <cell r="M126" t="str">
            <v>Asparagus</v>
          </cell>
          <cell r="N126" t="str">
            <v>officinalis</v>
          </cell>
          <cell r="P126" t="str">
            <v>234, 235</v>
          </cell>
          <cell r="R126" t="str">
            <v>Espárrago, cocido</v>
          </cell>
          <cell r="S126">
            <v>92</v>
          </cell>
          <cell r="U126" t="str">
            <v>d</v>
          </cell>
        </row>
        <row r="127">
          <cell r="A127">
            <v>200</v>
          </cell>
          <cell r="B127" t="str">
            <v>Espinaca</v>
          </cell>
          <cell r="C127" t="str">
            <v>Espinaca</v>
          </cell>
          <cell r="F127" t="str">
            <v>Hoja</v>
          </cell>
          <cell r="H127" t="str">
            <v>Lavado</v>
          </cell>
          <cell r="M127" t="str">
            <v>Spinaci(e)a</v>
          </cell>
          <cell r="N127" t="str">
            <v>oleracea L,</v>
          </cell>
          <cell r="P127" t="str">
            <v>232</v>
          </cell>
          <cell r="Q127" t="str">
            <v>No reporta</v>
          </cell>
          <cell r="R127" t="str">
            <v>Espinaca</v>
          </cell>
          <cell r="S127">
            <v>89.7</v>
          </cell>
          <cell r="U127" t="str">
            <v>c</v>
          </cell>
        </row>
        <row r="128">
          <cell r="A128">
            <v>202</v>
          </cell>
          <cell r="B128" t="str">
            <v>Espinaca, cocida</v>
          </cell>
          <cell r="C128" t="str">
            <v>Espinaca</v>
          </cell>
          <cell r="F128" t="str">
            <v>Hojas</v>
          </cell>
          <cell r="G128" t="str">
            <v>Madurez fisiológica</v>
          </cell>
          <cell r="H128" t="str">
            <v>Cocido</v>
          </cell>
          <cell r="I128" t="str">
            <v>Escurrido</v>
          </cell>
          <cell r="M128" t="str">
            <v>Spincea</v>
          </cell>
          <cell r="N128" t="str">
            <v>oleracea</v>
          </cell>
          <cell r="P128" t="str">
            <v>234, 235</v>
          </cell>
          <cell r="R128" t="str">
            <v>Espinaca, cocida</v>
          </cell>
          <cell r="S128">
            <v>91.2</v>
          </cell>
          <cell r="U128" t="str">
            <v>d</v>
          </cell>
        </row>
        <row r="129">
          <cell r="A129">
            <v>203</v>
          </cell>
          <cell r="B129" t="str">
            <v>Guascas</v>
          </cell>
          <cell r="C129" t="str">
            <v>Guascas</v>
          </cell>
          <cell r="F129" t="str">
            <v>Hojas</v>
          </cell>
          <cell r="H129" t="str">
            <v>Lavado</v>
          </cell>
          <cell r="M129" t="str">
            <v>Galinsoga</v>
          </cell>
          <cell r="N129" t="str">
            <v>parviflora Cap</v>
          </cell>
          <cell r="P129" t="str">
            <v>232</v>
          </cell>
          <cell r="Q129" t="str">
            <v>No reporta</v>
          </cell>
          <cell r="R129" t="str">
            <v>Guascas</v>
          </cell>
          <cell r="S129">
            <v>86.1</v>
          </cell>
          <cell r="U129" t="str">
            <v>c</v>
          </cell>
        </row>
        <row r="130">
          <cell r="A130">
            <v>205</v>
          </cell>
          <cell r="B130" t="str">
            <v>Guatila</v>
          </cell>
          <cell r="C130" t="str">
            <v>Guatila</v>
          </cell>
          <cell r="F130" t="str">
            <v>Fruto</v>
          </cell>
          <cell r="H130" t="str">
            <v>Lavado</v>
          </cell>
          <cell r="I130" t="str">
            <v>Pelado</v>
          </cell>
          <cell r="L130" t="str">
            <v>Cidrayota, papa de pobre, cidra papa,</v>
          </cell>
          <cell r="M130" t="str">
            <v>Sechium</v>
          </cell>
          <cell r="N130" t="str">
            <v>edule</v>
          </cell>
          <cell r="P130" t="str">
            <v>232</v>
          </cell>
          <cell r="Q130" t="str">
            <v>No reporta</v>
          </cell>
          <cell r="R130" t="str">
            <v>Guatila</v>
          </cell>
          <cell r="S130">
            <v>88.5</v>
          </cell>
          <cell r="U130" t="str">
            <v>c</v>
          </cell>
        </row>
        <row r="131">
          <cell r="A131">
            <v>206</v>
          </cell>
          <cell r="B131" t="str">
            <v>Guisantes</v>
          </cell>
          <cell r="C131" t="str">
            <v>Arveja</v>
          </cell>
          <cell r="F131" t="str">
            <v>Vaina y semillas</v>
          </cell>
          <cell r="H131" t="str">
            <v>Lavado</v>
          </cell>
          <cell r="M131" t="str">
            <v>Pisum</v>
          </cell>
          <cell r="N131" t="str">
            <v>sativum L,</v>
          </cell>
          <cell r="O131" t="str">
            <v>Macrocarpun</v>
          </cell>
          <cell r="P131" t="str">
            <v>232</v>
          </cell>
          <cell r="Q131" t="str">
            <v>No reporta</v>
          </cell>
          <cell r="R131" t="str">
            <v>Guisantes</v>
          </cell>
          <cell r="S131">
            <v>86.2</v>
          </cell>
          <cell r="U131" t="str">
            <v>c</v>
          </cell>
        </row>
        <row r="132">
          <cell r="A132">
            <v>207</v>
          </cell>
          <cell r="B132" t="str">
            <v>Habichuela</v>
          </cell>
          <cell r="C132" t="str">
            <v>Habichuela</v>
          </cell>
          <cell r="F132" t="str">
            <v>Vaina y semilla con cáscara</v>
          </cell>
          <cell r="H132" t="str">
            <v>Lavado</v>
          </cell>
          <cell r="L132" t="str">
            <v>Judía</v>
          </cell>
          <cell r="M132" t="str">
            <v>Phasiolus</v>
          </cell>
          <cell r="N132" t="str">
            <v>vulgaris L,</v>
          </cell>
          <cell r="O132" t="str">
            <v>Sesquipedalis</v>
          </cell>
          <cell r="P132" t="str">
            <v>232</v>
          </cell>
          <cell r="Q132" t="str">
            <v>No reporta</v>
          </cell>
          <cell r="R132" t="str">
            <v>Habichuela</v>
          </cell>
          <cell r="S132">
            <v>90</v>
          </cell>
          <cell r="U132" t="str">
            <v>c</v>
          </cell>
        </row>
        <row r="133">
          <cell r="A133">
            <v>208</v>
          </cell>
          <cell r="B133" t="str">
            <v>Ibia crema, pulpa</v>
          </cell>
          <cell r="C133" t="str">
            <v>Ibia</v>
          </cell>
          <cell r="D133" t="str">
            <v>Crema</v>
          </cell>
          <cell r="F133" t="str">
            <v>Pulpa</v>
          </cell>
          <cell r="H133" t="str">
            <v>Lavado</v>
          </cell>
          <cell r="I133" t="str">
            <v>Pelado</v>
          </cell>
          <cell r="M133" t="str">
            <v>Oxalis</v>
          </cell>
          <cell r="N133" t="str">
            <v>tuberosa</v>
          </cell>
          <cell r="P133" t="str">
            <v>108</v>
          </cell>
          <cell r="Q133" t="str">
            <v>No reporta</v>
          </cell>
          <cell r="R133" t="str">
            <v>Ibia crema, pulpa</v>
          </cell>
          <cell r="S133">
            <v>87.2</v>
          </cell>
          <cell r="T133">
            <v>1.8</v>
          </cell>
          <cell r="U133" t="str">
            <v>b</v>
          </cell>
        </row>
        <row r="134">
          <cell r="A134">
            <v>209</v>
          </cell>
          <cell r="B134" t="str">
            <v>Ibia rosada, pulpa</v>
          </cell>
          <cell r="C134" t="str">
            <v>Ibia</v>
          </cell>
          <cell r="D134" t="str">
            <v>Rosada</v>
          </cell>
          <cell r="F134" t="str">
            <v>Pulpa</v>
          </cell>
          <cell r="H134" t="str">
            <v>Lavado</v>
          </cell>
          <cell r="I134" t="str">
            <v>Pelado</v>
          </cell>
          <cell r="M134" t="str">
            <v>Oxalis</v>
          </cell>
          <cell r="N134" t="str">
            <v>tuberosa</v>
          </cell>
          <cell r="P134" t="str">
            <v>108</v>
          </cell>
          <cell r="Q134" t="str">
            <v>No reporta</v>
          </cell>
          <cell r="R134" t="str">
            <v>Ibia rosada, pulpa</v>
          </cell>
          <cell r="S134">
            <v>90.4</v>
          </cell>
          <cell r="T134">
            <v>4.9000000000000004</v>
          </cell>
          <cell r="U134" t="str">
            <v>b</v>
          </cell>
        </row>
        <row r="135">
          <cell r="A135">
            <v>210</v>
          </cell>
          <cell r="B135" t="str">
            <v>Ibia, con cáscara</v>
          </cell>
          <cell r="C135" t="str">
            <v>Ibia</v>
          </cell>
          <cell r="F135" t="str">
            <v>Tubérculos con cáscara</v>
          </cell>
          <cell r="G135" t="str">
            <v>Maduro</v>
          </cell>
          <cell r="H135" t="str">
            <v>Lavado</v>
          </cell>
          <cell r="L135" t="str">
            <v>Apilla, oca, ruba, papa colorada,</v>
          </cell>
          <cell r="M135" t="str">
            <v>Oxalis</v>
          </cell>
          <cell r="N135" t="str">
            <v>Tubérculosa</v>
          </cell>
          <cell r="O135" t="str">
            <v>Molina</v>
          </cell>
          <cell r="P135" t="str">
            <v>232</v>
          </cell>
          <cell r="Q135" t="str">
            <v>No reporta</v>
          </cell>
          <cell r="R135" t="str">
            <v>Ibia, con cáscara</v>
          </cell>
          <cell r="S135">
            <v>84.6</v>
          </cell>
          <cell r="U135" t="str">
            <v>c</v>
          </cell>
        </row>
        <row r="136">
          <cell r="A136">
            <v>211</v>
          </cell>
          <cell r="B136" t="str">
            <v>Lechuga común</v>
          </cell>
          <cell r="C136" t="str">
            <v>Lechuga</v>
          </cell>
          <cell r="D136" t="str">
            <v>Común</v>
          </cell>
          <cell r="F136" t="str">
            <v>Hojas</v>
          </cell>
          <cell r="G136" t="str">
            <v>Verde</v>
          </cell>
          <cell r="H136" t="str">
            <v>Lavado</v>
          </cell>
          <cell r="M136" t="str">
            <v>Lactuca</v>
          </cell>
          <cell r="N136" t="str">
            <v>sativa L,</v>
          </cell>
          <cell r="O136" t="str">
            <v>Capitata hort,</v>
          </cell>
          <cell r="P136" t="str">
            <v>232</v>
          </cell>
          <cell r="Q136" t="str">
            <v>No reporta</v>
          </cell>
          <cell r="R136" t="str">
            <v>Lechuga común</v>
          </cell>
          <cell r="S136">
            <v>95.1</v>
          </cell>
          <cell r="U136" t="str">
            <v>c</v>
          </cell>
        </row>
        <row r="137">
          <cell r="A137">
            <v>212</v>
          </cell>
          <cell r="B137" t="str">
            <v>Lechuga romana</v>
          </cell>
          <cell r="C137" t="str">
            <v>Lechuga</v>
          </cell>
          <cell r="D137" t="str">
            <v>Común</v>
          </cell>
          <cell r="F137" t="str">
            <v>Hojas</v>
          </cell>
          <cell r="G137" t="str">
            <v>Verde</v>
          </cell>
          <cell r="H137" t="str">
            <v>Lavado</v>
          </cell>
          <cell r="M137" t="str">
            <v>Lactuca</v>
          </cell>
          <cell r="N137" t="str">
            <v>sativa L,</v>
          </cell>
          <cell r="O137" t="str">
            <v>Romana hort,</v>
          </cell>
          <cell r="P137" t="str">
            <v>232</v>
          </cell>
          <cell r="Q137" t="str">
            <v>No reporta</v>
          </cell>
          <cell r="R137" t="str">
            <v>Lechuga romana</v>
          </cell>
          <cell r="S137">
            <v>94.8</v>
          </cell>
          <cell r="U137" t="str">
            <v>c</v>
          </cell>
        </row>
        <row r="138">
          <cell r="A138">
            <v>213</v>
          </cell>
          <cell r="B138" t="str">
            <v>Nabo</v>
          </cell>
          <cell r="C138" t="str">
            <v>Nabo</v>
          </cell>
          <cell r="F138" t="str">
            <v>Raíz</v>
          </cell>
          <cell r="H138" t="str">
            <v>Lavado</v>
          </cell>
          <cell r="L138" t="str">
            <v>Naba</v>
          </cell>
          <cell r="M138" t="str">
            <v>Brassica</v>
          </cell>
          <cell r="N138" t="str">
            <v>napus L,</v>
          </cell>
          <cell r="P138" t="str">
            <v>232</v>
          </cell>
          <cell r="Q138" t="str">
            <v>No reporta</v>
          </cell>
          <cell r="R138" t="str">
            <v>Nabo</v>
          </cell>
          <cell r="S138">
            <v>92.6</v>
          </cell>
          <cell r="U138" t="str">
            <v>c</v>
          </cell>
        </row>
        <row r="139">
          <cell r="A139">
            <v>214</v>
          </cell>
          <cell r="B139" t="str">
            <v>Nacuma</v>
          </cell>
          <cell r="C139" t="str">
            <v>Nacuma</v>
          </cell>
          <cell r="F139" t="str">
            <v>Cogollo tierno</v>
          </cell>
          <cell r="G139" t="str">
            <v>Tierno</v>
          </cell>
          <cell r="H139" t="str">
            <v>Lavado</v>
          </cell>
          <cell r="M139" t="str">
            <v>Cardoluvica</v>
          </cell>
          <cell r="N139" t="str">
            <v>palmata</v>
          </cell>
          <cell r="P139" t="str">
            <v>232</v>
          </cell>
          <cell r="Q139" t="str">
            <v>No reporta</v>
          </cell>
          <cell r="R139" t="str">
            <v>Nacuma</v>
          </cell>
          <cell r="S139">
            <v>90.5</v>
          </cell>
          <cell r="U139" t="str">
            <v>c</v>
          </cell>
        </row>
        <row r="140">
          <cell r="A140">
            <v>215</v>
          </cell>
          <cell r="B140" t="str">
            <v>Ñame</v>
          </cell>
          <cell r="C140" t="str">
            <v>Ñame</v>
          </cell>
          <cell r="F140" t="str">
            <v>Tubérculo sin cáscara</v>
          </cell>
          <cell r="H140" t="str">
            <v>Lavado</v>
          </cell>
          <cell r="I140" t="str">
            <v>Pelado</v>
          </cell>
          <cell r="M140" t="str">
            <v>Dioscorea</v>
          </cell>
          <cell r="N140" t="str">
            <v>alata L,</v>
          </cell>
          <cell r="P140" t="str">
            <v>232</v>
          </cell>
          <cell r="Q140" t="str">
            <v>No reporta</v>
          </cell>
          <cell r="R140" t="str">
            <v>Ñame</v>
          </cell>
          <cell r="S140">
            <v>72.400000000000006</v>
          </cell>
          <cell r="U140" t="str">
            <v>c</v>
          </cell>
        </row>
        <row r="141">
          <cell r="A141">
            <v>216</v>
          </cell>
          <cell r="B141" t="str">
            <v>Ñame aéreo</v>
          </cell>
          <cell r="C141" t="str">
            <v>Ñame</v>
          </cell>
          <cell r="D141" t="str">
            <v>Aereo</v>
          </cell>
          <cell r="F141" t="str">
            <v>Hojas</v>
          </cell>
          <cell r="H141" t="str">
            <v>Lavado</v>
          </cell>
          <cell r="M141" t="str">
            <v>Dioscorea</v>
          </cell>
          <cell r="N141" t="str">
            <v>bulbifera L,</v>
          </cell>
          <cell r="O141" t="str">
            <v>Aéreo</v>
          </cell>
          <cell r="P141" t="str">
            <v>7</v>
          </cell>
          <cell r="Q141" t="str">
            <v>Manizales</v>
          </cell>
          <cell r="R141" t="str">
            <v>Ñame aéreo</v>
          </cell>
          <cell r="S141">
            <v>80.5</v>
          </cell>
          <cell r="U141" t="str">
            <v>c</v>
          </cell>
        </row>
        <row r="142">
          <cell r="A142">
            <v>218</v>
          </cell>
          <cell r="B142" t="str">
            <v>Ñame cocido</v>
          </cell>
          <cell r="C142" t="str">
            <v>Ñame</v>
          </cell>
          <cell r="D142" t="str">
            <v>Tubérculo</v>
          </cell>
          <cell r="F142" t="str">
            <v>Parte comestible</v>
          </cell>
          <cell r="G142" t="str">
            <v>Madurez fisiológica</v>
          </cell>
          <cell r="H142" t="str">
            <v>Cocido</v>
          </cell>
          <cell r="I142" t="str">
            <v>Escurrido</v>
          </cell>
          <cell r="M142" t="str">
            <v>Dioscorea</v>
          </cell>
          <cell r="N142" t="str">
            <v>spp,</v>
          </cell>
          <cell r="P142" t="str">
            <v>234, 235</v>
          </cell>
          <cell r="R142" t="str">
            <v>Ñame cocido</v>
          </cell>
          <cell r="S142">
            <v>70.099999999999994</v>
          </cell>
          <cell r="U142" t="str">
            <v>d</v>
          </cell>
        </row>
        <row r="143">
          <cell r="A143">
            <v>219</v>
          </cell>
          <cell r="B143" t="str">
            <v>Ñame criollo</v>
          </cell>
          <cell r="C143" t="str">
            <v>Ñame</v>
          </cell>
          <cell r="D143" t="str">
            <v>Criollo</v>
          </cell>
          <cell r="H143" t="str">
            <v>Lavado</v>
          </cell>
          <cell r="I143" t="str">
            <v>Pelado</v>
          </cell>
          <cell r="M143" t="str">
            <v>Dioscorea</v>
          </cell>
          <cell r="N143" t="str">
            <v>alata</v>
          </cell>
          <cell r="O143" t="str">
            <v>Criollo</v>
          </cell>
          <cell r="P143" t="str">
            <v>36</v>
          </cell>
          <cell r="Q143" t="str">
            <v>Muestra comercial</v>
          </cell>
          <cell r="R143" t="str">
            <v>Ñame criollo</v>
          </cell>
          <cell r="S143">
            <v>70</v>
          </cell>
          <cell r="U143" t="str">
            <v>b</v>
          </cell>
        </row>
        <row r="144">
          <cell r="A144">
            <v>220</v>
          </cell>
          <cell r="B144" t="str">
            <v>Ñame espino</v>
          </cell>
          <cell r="C144" t="str">
            <v>Ñame</v>
          </cell>
          <cell r="D144" t="str">
            <v>Espino</v>
          </cell>
          <cell r="H144" t="str">
            <v>Lavado</v>
          </cell>
          <cell r="I144" t="str">
            <v>Pelado</v>
          </cell>
          <cell r="M144" t="str">
            <v>Dioscorea</v>
          </cell>
          <cell r="N144" t="str">
            <v>rotundata</v>
          </cell>
          <cell r="O144" t="str">
            <v>Espino</v>
          </cell>
          <cell r="P144" t="str">
            <v>36</v>
          </cell>
          <cell r="Q144" t="str">
            <v>Muestra comercial</v>
          </cell>
          <cell r="R144" t="str">
            <v>Ñame espino</v>
          </cell>
          <cell r="S144">
            <v>72</v>
          </cell>
          <cell r="U144" t="str">
            <v>c</v>
          </cell>
        </row>
        <row r="145">
          <cell r="A145">
            <v>221</v>
          </cell>
          <cell r="B145" t="str">
            <v>Ñame espino</v>
          </cell>
          <cell r="C145" t="str">
            <v>Ñame</v>
          </cell>
          <cell r="D145" t="str">
            <v>Espino</v>
          </cell>
          <cell r="F145" t="str">
            <v>Pulpa</v>
          </cell>
          <cell r="H145" t="str">
            <v>Lavado</v>
          </cell>
          <cell r="I145" t="str">
            <v>Pelado</v>
          </cell>
          <cell r="M145" t="str">
            <v>Dioscorea</v>
          </cell>
          <cell r="N145" t="str">
            <v>callenensis</v>
          </cell>
          <cell r="O145" t="str">
            <v>Espino</v>
          </cell>
          <cell r="P145" t="str">
            <v>43, 243</v>
          </cell>
          <cell r="Q145" t="str">
            <v>Córdoba</v>
          </cell>
          <cell r="R145" t="str">
            <v>Ñame espino</v>
          </cell>
          <cell r="S145">
            <v>76.5</v>
          </cell>
          <cell r="T145">
            <v>0.6</v>
          </cell>
          <cell r="U145" t="str">
            <v>c</v>
          </cell>
        </row>
        <row r="146">
          <cell r="A146">
            <v>222</v>
          </cell>
          <cell r="B146" t="str">
            <v>Ñame pelado</v>
          </cell>
          <cell r="C146" t="str">
            <v>Ñame</v>
          </cell>
          <cell r="D146" t="str">
            <v>Pelado</v>
          </cell>
          <cell r="F146" t="str">
            <v>Pulpa</v>
          </cell>
          <cell r="H146" t="str">
            <v>Lavado</v>
          </cell>
          <cell r="I146" t="str">
            <v>Pelado</v>
          </cell>
          <cell r="M146" t="str">
            <v>Dioscorea</v>
          </cell>
          <cell r="N146" t="str">
            <v>alata</v>
          </cell>
          <cell r="O146" t="str">
            <v>Pelado</v>
          </cell>
          <cell r="P146" t="str">
            <v>243</v>
          </cell>
          <cell r="Q146" t="str">
            <v>Córdoba</v>
          </cell>
          <cell r="R146" t="str">
            <v>Ñame pelado</v>
          </cell>
          <cell r="S146">
            <v>71.7</v>
          </cell>
          <cell r="T146">
            <v>0</v>
          </cell>
          <cell r="U146" t="str">
            <v>c</v>
          </cell>
        </row>
        <row r="147">
          <cell r="A147">
            <v>224</v>
          </cell>
          <cell r="B147" t="str">
            <v>Palmito</v>
          </cell>
          <cell r="C147" t="str">
            <v>Palmito</v>
          </cell>
          <cell r="F147" t="str">
            <v>Tallo tierno</v>
          </cell>
          <cell r="H147" t="str">
            <v>Lavado</v>
          </cell>
          <cell r="M147" t="str">
            <v>Euterpe/Euptere</v>
          </cell>
          <cell r="N147" t="str">
            <v>frigida</v>
          </cell>
          <cell r="P147" t="str">
            <v>232</v>
          </cell>
          <cell r="Q147" t="str">
            <v>No reporta</v>
          </cell>
          <cell r="R147" t="str">
            <v>Palmito</v>
          </cell>
          <cell r="S147">
            <v>82.8</v>
          </cell>
          <cell r="U147" t="str">
            <v>c</v>
          </cell>
        </row>
        <row r="148">
          <cell r="A148">
            <v>227</v>
          </cell>
          <cell r="B148" t="str">
            <v>Papa común, con cáscara</v>
          </cell>
          <cell r="C148" t="str">
            <v>Papa</v>
          </cell>
          <cell r="D148" t="str">
            <v>Común</v>
          </cell>
          <cell r="F148" t="str">
            <v>Tubérculo con cáscara</v>
          </cell>
          <cell r="H148" t="str">
            <v>Lavado</v>
          </cell>
          <cell r="M148" t="str">
            <v>Solanum</v>
          </cell>
          <cell r="N148" t="str">
            <v>tuberosum L,</v>
          </cell>
          <cell r="P148" t="str">
            <v>232</v>
          </cell>
          <cell r="Q148" t="str">
            <v>No reporta</v>
          </cell>
          <cell r="R148" t="str">
            <v>Papa común, con cáscara</v>
          </cell>
          <cell r="S148">
            <v>76.7</v>
          </cell>
          <cell r="U148" t="str">
            <v>c</v>
          </cell>
        </row>
        <row r="149">
          <cell r="A149">
            <v>228</v>
          </cell>
          <cell r="B149" t="str">
            <v>Papa común, sin cáscara</v>
          </cell>
          <cell r="C149" t="str">
            <v>Papa</v>
          </cell>
          <cell r="D149" t="str">
            <v>Común</v>
          </cell>
          <cell r="F149" t="str">
            <v>Tubérculo sin cáscara</v>
          </cell>
          <cell r="H149" t="str">
            <v>Lavado</v>
          </cell>
          <cell r="I149" t="str">
            <v>Pelado</v>
          </cell>
          <cell r="M149" t="str">
            <v>Solanum</v>
          </cell>
          <cell r="N149" t="str">
            <v>tuberosum L,</v>
          </cell>
          <cell r="P149" t="str">
            <v>232</v>
          </cell>
          <cell r="Q149" t="str">
            <v>No reporta</v>
          </cell>
          <cell r="R149" t="str">
            <v>Papa común, sin cáscara</v>
          </cell>
          <cell r="S149">
            <v>75.400000000000006</v>
          </cell>
          <cell r="U149" t="str">
            <v>c</v>
          </cell>
        </row>
        <row r="150">
          <cell r="A150">
            <v>231</v>
          </cell>
          <cell r="B150" t="str">
            <v>Papa criolla, con cáscara</v>
          </cell>
          <cell r="C150" t="str">
            <v>Papa</v>
          </cell>
          <cell r="D150" t="str">
            <v>Criolla</v>
          </cell>
          <cell r="F150" t="str">
            <v>Tuberculo con cascara</v>
          </cell>
          <cell r="H150" t="str">
            <v>Lavado</v>
          </cell>
          <cell r="M150" t="str">
            <v>Solanum</v>
          </cell>
          <cell r="N150" t="str">
            <v>phureja</v>
          </cell>
          <cell r="P150" t="str">
            <v>232, 135</v>
          </cell>
          <cell r="Q150" t="str">
            <v>Muestra comercial</v>
          </cell>
          <cell r="R150" t="str">
            <v>Papa criolla, con cáscara</v>
          </cell>
          <cell r="S150">
            <v>74.8</v>
          </cell>
          <cell r="U150" t="str">
            <v>b</v>
          </cell>
        </row>
        <row r="151">
          <cell r="A151">
            <v>240</v>
          </cell>
          <cell r="B151" t="str">
            <v>Papa pastusa deshidratada</v>
          </cell>
          <cell r="C151" t="str">
            <v>Papa</v>
          </cell>
          <cell r="D151" t="str">
            <v>Pastusa</v>
          </cell>
          <cell r="F151" t="str">
            <v>Tuberculo</v>
          </cell>
          <cell r="H151" t="str">
            <v>Lavado</v>
          </cell>
          <cell r="I151" t="str">
            <v>Pelado</v>
          </cell>
          <cell r="J151" t="str">
            <v>Cortado</v>
          </cell>
          <cell r="K151" t="str">
            <v>Secado</v>
          </cell>
          <cell r="M151" t="str">
            <v>Solanum</v>
          </cell>
          <cell r="N151" t="str">
            <v>tuberosum</v>
          </cell>
          <cell r="P151" t="str">
            <v>80</v>
          </cell>
          <cell r="Q151" t="str">
            <v>Muestra comercial</v>
          </cell>
          <cell r="R151" t="str">
            <v>Papa pastusa deshidratada</v>
          </cell>
          <cell r="S151">
            <v>8.5</v>
          </cell>
          <cell r="T151">
            <v>1.1000000000000001</v>
          </cell>
          <cell r="U151" t="str">
            <v>a</v>
          </cell>
        </row>
        <row r="152">
          <cell r="A152">
            <v>242</v>
          </cell>
          <cell r="B152" t="str">
            <v>Papa pastusa, sin cáscara</v>
          </cell>
          <cell r="C152" t="str">
            <v>Papa</v>
          </cell>
          <cell r="D152" t="str">
            <v>Pastusa</v>
          </cell>
          <cell r="F152" t="str">
            <v>Tuberculo</v>
          </cell>
          <cell r="H152" t="str">
            <v>Pelado</v>
          </cell>
          <cell r="M152" t="str">
            <v>Solanum</v>
          </cell>
          <cell r="N152" t="str">
            <v>tuberosum</v>
          </cell>
          <cell r="P152" t="str">
            <v>80, 96, 252</v>
          </cell>
          <cell r="Q152" t="str">
            <v>No reporta</v>
          </cell>
          <cell r="R152" t="str">
            <v>Papa pastusa, sin cáscara</v>
          </cell>
          <cell r="S152">
            <v>77.2</v>
          </cell>
          <cell r="T152">
            <v>1.2</v>
          </cell>
          <cell r="U152" t="str">
            <v>a</v>
          </cell>
        </row>
        <row r="153">
          <cell r="A153">
            <v>246</v>
          </cell>
          <cell r="B153" t="str">
            <v>Papa rizoma</v>
          </cell>
          <cell r="C153" t="str">
            <v>Papa</v>
          </cell>
          <cell r="D153" t="str">
            <v>Rizoma</v>
          </cell>
          <cell r="F153" t="str">
            <v>Rizoma</v>
          </cell>
          <cell r="H153" t="str">
            <v>Lavado</v>
          </cell>
          <cell r="I153" t="str">
            <v>Pelado</v>
          </cell>
          <cell r="P153" t="str">
            <v>232</v>
          </cell>
          <cell r="Q153" t="str">
            <v>No reporta</v>
          </cell>
          <cell r="R153" t="str">
            <v>Papa rizoma</v>
          </cell>
          <cell r="S153">
            <v>58.7</v>
          </cell>
          <cell r="U153" t="str">
            <v>d</v>
          </cell>
        </row>
        <row r="154">
          <cell r="A154">
            <v>253</v>
          </cell>
          <cell r="B154" t="str">
            <v>Pasta de cebolla</v>
          </cell>
          <cell r="C154" t="str">
            <v>Pasta</v>
          </cell>
          <cell r="D154" t="str">
            <v>De cebolla</v>
          </cell>
          <cell r="F154" t="str">
            <v>Pulpa de cebolla</v>
          </cell>
          <cell r="H154" t="str">
            <v>Escaldado</v>
          </cell>
          <cell r="I154" t="str">
            <v>Triturado</v>
          </cell>
          <cell r="J154" t="str">
            <v>Mezclado</v>
          </cell>
          <cell r="K154" t="str">
            <v>Concentrado</v>
          </cell>
          <cell r="P154" t="str">
            <v>118</v>
          </cell>
          <cell r="Q154" t="str">
            <v>Boyacá</v>
          </cell>
          <cell r="R154" t="str">
            <v>Pasta de cebolla</v>
          </cell>
          <cell r="S154">
            <v>64</v>
          </cell>
          <cell r="U154" t="str">
            <v>c</v>
          </cell>
        </row>
        <row r="155">
          <cell r="A155">
            <v>254</v>
          </cell>
          <cell r="B155" t="str">
            <v>Pepino cohombro</v>
          </cell>
          <cell r="C155" t="str">
            <v>Pepino</v>
          </cell>
          <cell r="D155" t="str">
            <v>Cohombro</v>
          </cell>
          <cell r="F155" t="str">
            <v>Fruto sin cáscara</v>
          </cell>
          <cell r="G155" t="str">
            <v>Verde</v>
          </cell>
          <cell r="H155" t="str">
            <v>Lavado</v>
          </cell>
          <cell r="I155" t="str">
            <v>Pelado</v>
          </cell>
          <cell r="L155" t="str">
            <v>Cocombro</v>
          </cell>
          <cell r="M155" t="str">
            <v>Cucumis</v>
          </cell>
          <cell r="N155" t="str">
            <v>sativus L,</v>
          </cell>
          <cell r="P155" t="str">
            <v>232</v>
          </cell>
          <cell r="Q155" t="str">
            <v>No reporta</v>
          </cell>
          <cell r="R155" t="str">
            <v>Pepino cohombro</v>
          </cell>
          <cell r="S155">
            <v>96.7</v>
          </cell>
          <cell r="U155" t="str">
            <v>c</v>
          </cell>
        </row>
        <row r="156">
          <cell r="A156">
            <v>255</v>
          </cell>
          <cell r="B156" t="str">
            <v>Pepino criollo</v>
          </cell>
          <cell r="C156" t="str">
            <v>Pepino</v>
          </cell>
          <cell r="D156" t="str">
            <v>Criollo</v>
          </cell>
          <cell r="F156" t="str">
            <v>Parte comestible</v>
          </cell>
          <cell r="H156" t="str">
            <v>Lavado</v>
          </cell>
          <cell r="M156" t="str">
            <v>Cyclanthera</v>
          </cell>
          <cell r="N156" t="str">
            <v>pedata</v>
          </cell>
          <cell r="O156" t="str">
            <v>Criollo</v>
          </cell>
          <cell r="P156" t="str">
            <v>232, 54</v>
          </cell>
          <cell r="Q156" t="str">
            <v>Bolívar</v>
          </cell>
          <cell r="R156" t="str">
            <v>Pepino criollo</v>
          </cell>
          <cell r="S156">
            <v>92.2</v>
          </cell>
          <cell r="T156">
            <v>4.4000000000000004</v>
          </cell>
          <cell r="U156" t="str">
            <v>b</v>
          </cell>
        </row>
        <row r="157">
          <cell r="A157">
            <v>256</v>
          </cell>
          <cell r="B157" t="str">
            <v>Perejil</v>
          </cell>
          <cell r="C157" t="str">
            <v>Perejil</v>
          </cell>
          <cell r="F157" t="str">
            <v>Hojas y tallos</v>
          </cell>
          <cell r="H157" t="str">
            <v>Lavado</v>
          </cell>
          <cell r="M157" t="str">
            <v>Petroselinum</v>
          </cell>
          <cell r="N157" t="str">
            <v>spp,</v>
          </cell>
          <cell r="P157" t="str">
            <v>232</v>
          </cell>
          <cell r="Q157" t="str">
            <v>No reporta</v>
          </cell>
          <cell r="R157" t="str">
            <v>Perejil</v>
          </cell>
          <cell r="S157">
            <v>85</v>
          </cell>
          <cell r="U157" t="str">
            <v>c</v>
          </cell>
        </row>
        <row r="158">
          <cell r="A158">
            <v>257</v>
          </cell>
          <cell r="B158" t="str">
            <v>Pimentón rojo</v>
          </cell>
          <cell r="C158" t="str">
            <v>Pimentón</v>
          </cell>
          <cell r="D158" t="str">
            <v>Rojo</v>
          </cell>
          <cell r="F158" t="str">
            <v>Pulpa con piel</v>
          </cell>
          <cell r="G158" t="str">
            <v>Maduro</v>
          </cell>
          <cell r="H158" t="str">
            <v>Lavado</v>
          </cell>
          <cell r="I158" t="str">
            <v>Extracción de pulpa</v>
          </cell>
          <cell r="L158" t="str">
            <v>Pimiento rojo, pimiento morrón</v>
          </cell>
          <cell r="M158" t="str">
            <v>Capsicum</v>
          </cell>
          <cell r="N158" t="str">
            <v>annuun</v>
          </cell>
          <cell r="O158" t="str">
            <v>Rojo</v>
          </cell>
          <cell r="P158" t="str">
            <v>232, 185</v>
          </cell>
          <cell r="Q158" t="str">
            <v>Santander</v>
          </cell>
          <cell r="R158" t="str">
            <v>Pimentón rojo</v>
          </cell>
          <cell r="S158">
            <v>91.9</v>
          </cell>
          <cell r="T158">
            <v>0.6</v>
          </cell>
          <cell r="U158" t="str">
            <v>c</v>
          </cell>
        </row>
        <row r="159">
          <cell r="A159">
            <v>258</v>
          </cell>
          <cell r="B159" t="str">
            <v>Pimentón verde</v>
          </cell>
          <cell r="C159" t="str">
            <v>Pimentón</v>
          </cell>
          <cell r="D159" t="str">
            <v>Verde</v>
          </cell>
          <cell r="F159" t="str">
            <v>Fruto sin semillas</v>
          </cell>
          <cell r="G159" t="str">
            <v>Verde</v>
          </cell>
          <cell r="H159" t="str">
            <v>Lavado</v>
          </cell>
          <cell r="I159" t="str">
            <v>Extracción de pulpa</v>
          </cell>
          <cell r="L159" t="str">
            <v>Pimiento verde, pimiento morrón</v>
          </cell>
          <cell r="M159" t="str">
            <v>Capsicum</v>
          </cell>
          <cell r="N159" t="str">
            <v>annuum L</v>
          </cell>
          <cell r="O159" t="str">
            <v>Morrón</v>
          </cell>
          <cell r="P159" t="str">
            <v>232</v>
          </cell>
          <cell r="Q159" t="str">
            <v>No reporta</v>
          </cell>
          <cell r="R159" t="str">
            <v>Pimentón verde</v>
          </cell>
          <cell r="S159">
            <v>93.7</v>
          </cell>
          <cell r="U159" t="str">
            <v>c</v>
          </cell>
        </row>
        <row r="160">
          <cell r="A160">
            <v>261</v>
          </cell>
          <cell r="B160" t="str">
            <v>Plátano colí</v>
          </cell>
          <cell r="C160" t="str">
            <v>Plátano</v>
          </cell>
          <cell r="D160" t="str">
            <v>Colí</v>
          </cell>
          <cell r="F160" t="str">
            <v>Pulpa sin cáscara</v>
          </cell>
          <cell r="G160" t="str">
            <v>Verde</v>
          </cell>
          <cell r="H160" t="str">
            <v>Pelado</v>
          </cell>
          <cell r="L160" t="str">
            <v>Guíneo verde, colicero</v>
          </cell>
          <cell r="M160" t="str">
            <v>Musa</v>
          </cell>
          <cell r="N160" t="str">
            <v>coccinea</v>
          </cell>
          <cell r="O160" t="str">
            <v>Andrade</v>
          </cell>
          <cell r="P160" t="str">
            <v>232</v>
          </cell>
          <cell r="Q160" t="str">
            <v>No reporta</v>
          </cell>
          <cell r="R160" t="str">
            <v>Plátano colí</v>
          </cell>
          <cell r="S160">
            <v>67.400000000000006</v>
          </cell>
          <cell r="U160" t="str">
            <v>c</v>
          </cell>
        </row>
        <row r="161">
          <cell r="A161">
            <v>263</v>
          </cell>
          <cell r="B161" t="str">
            <v>Plátano dominico verde</v>
          </cell>
          <cell r="C161" t="str">
            <v>Plátano</v>
          </cell>
          <cell r="D161" t="str">
            <v>Dominico</v>
          </cell>
          <cell r="F161" t="str">
            <v>Pulpa</v>
          </cell>
          <cell r="G161" t="str">
            <v>Verde</v>
          </cell>
          <cell r="H161" t="str">
            <v>Pelado</v>
          </cell>
          <cell r="M161" t="str">
            <v>Musa</v>
          </cell>
          <cell r="N161" t="str">
            <v>regia L,</v>
          </cell>
          <cell r="O161" t="str">
            <v>Dominico</v>
          </cell>
          <cell r="P161" t="str">
            <v>232, 31</v>
          </cell>
          <cell r="Q161" t="str">
            <v>Caldas</v>
          </cell>
          <cell r="R161" t="str">
            <v>Plátano dominico verde</v>
          </cell>
          <cell r="S161">
            <v>58.4</v>
          </cell>
          <cell r="T161">
            <v>1.8</v>
          </cell>
          <cell r="U161" t="str">
            <v>c</v>
          </cell>
        </row>
        <row r="162">
          <cell r="A162">
            <v>264</v>
          </cell>
          <cell r="B162" t="str">
            <v>Plátano espermo</v>
          </cell>
          <cell r="C162" t="str">
            <v>Plátano</v>
          </cell>
          <cell r="D162" t="str">
            <v>Espermo</v>
          </cell>
          <cell r="F162" t="str">
            <v>Pulpa sin cáscara</v>
          </cell>
          <cell r="G162" t="str">
            <v>Maduro</v>
          </cell>
          <cell r="H162" t="str">
            <v>Pelado</v>
          </cell>
          <cell r="L162" t="str">
            <v>Espermo, maduro</v>
          </cell>
          <cell r="M162" t="str">
            <v>Musa</v>
          </cell>
          <cell r="N162" t="str">
            <v>spp,</v>
          </cell>
          <cell r="O162" t="str">
            <v>Espermo</v>
          </cell>
          <cell r="P162" t="str">
            <v>232</v>
          </cell>
          <cell r="Q162" t="str">
            <v>No reporta</v>
          </cell>
          <cell r="R162" t="str">
            <v>Plátano espermo</v>
          </cell>
          <cell r="S162">
            <v>69.099999999999994</v>
          </cell>
          <cell r="U162" t="str">
            <v>c</v>
          </cell>
        </row>
        <row r="163">
          <cell r="A163">
            <v>266</v>
          </cell>
          <cell r="B163" t="str">
            <v>Plátano hartón maduro</v>
          </cell>
          <cell r="C163" t="str">
            <v>Plátano</v>
          </cell>
          <cell r="D163" t="str">
            <v>Hartón</v>
          </cell>
          <cell r="F163" t="str">
            <v>Pulpa</v>
          </cell>
          <cell r="G163" t="str">
            <v>Maduro</v>
          </cell>
          <cell r="H163" t="str">
            <v>Pelado</v>
          </cell>
          <cell r="L163" t="str">
            <v>Plátano</v>
          </cell>
          <cell r="M163" t="str">
            <v>Musa</v>
          </cell>
          <cell r="N163" t="str">
            <v>paradisiaca L,</v>
          </cell>
          <cell r="P163" t="str">
            <v>232</v>
          </cell>
          <cell r="Q163" t="str">
            <v>No reporta</v>
          </cell>
          <cell r="R163" t="str">
            <v>Plátano hartón maduro</v>
          </cell>
          <cell r="S163">
            <v>60.8</v>
          </cell>
          <cell r="U163" t="str">
            <v>c</v>
          </cell>
        </row>
        <row r="164">
          <cell r="A164">
            <v>272</v>
          </cell>
          <cell r="B164" t="str">
            <v>Plátano hartón verde</v>
          </cell>
          <cell r="C164" t="str">
            <v>Plátano</v>
          </cell>
          <cell r="D164" t="str">
            <v>Hartón</v>
          </cell>
          <cell r="F164" t="str">
            <v>Pulpa</v>
          </cell>
          <cell r="G164" t="str">
            <v>Verde</v>
          </cell>
          <cell r="H164" t="str">
            <v>Pelado</v>
          </cell>
          <cell r="L164" t="str">
            <v>Plátano</v>
          </cell>
          <cell r="M164" t="str">
            <v>Musa</v>
          </cell>
          <cell r="N164" t="str">
            <v>paradisiaca L,</v>
          </cell>
          <cell r="O164" t="str">
            <v>Hartón</v>
          </cell>
          <cell r="P164" t="str">
            <v>232</v>
          </cell>
          <cell r="Q164" t="str">
            <v>No reporta</v>
          </cell>
          <cell r="R164" t="str">
            <v>Plátano hartón verde</v>
          </cell>
          <cell r="S164">
            <v>59.4</v>
          </cell>
          <cell r="U164" t="str">
            <v>c</v>
          </cell>
        </row>
        <row r="165">
          <cell r="A165">
            <v>275</v>
          </cell>
          <cell r="B165" t="str">
            <v>Plátano maritú, maduro</v>
          </cell>
          <cell r="C165" t="str">
            <v>Plátano</v>
          </cell>
          <cell r="D165" t="str">
            <v>Maritú</v>
          </cell>
          <cell r="F165" t="str">
            <v>Pulpa</v>
          </cell>
          <cell r="G165" t="str">
            <v>Maduro</v>
          </cell>
          <cell r="H165" t="str">
            <v>Pelado</v>
          </cell>
          <cell r="L165" t="str">
            <v>Plátano</v>
          </cell>
          <cell r="M165" t="str">
            <v>Musa</v>
          </cell>
          <cell r="N165" t="str">
            <v>spp,</v>
          </cell>
          <cell r="O165" t="str">
            <v>Maritú</v>
          </cell>
          <cell r="P165" t="str">
            <v>232</v>
          </cell>
          <cell r="Q165" t="str">
            <v>No reporta</v>
          </cell>
          <cell r="R165" t="str">
            <v>Plátano maritú, maduro</v>
          </cell>
          <cell r="S165">
            <v>71.400000000000006</v>
          </cell>
          <cell r="U165" t="str">
            <v>c</v>
          </cell>
        </row>
        <row r="166">
          <cell r="A166">
            <v>276</v>
          </cell>
          <cell r="B166" t="str">
            <v>Plátano popocho , verde</v>
          </cell>
          <cell r="C166" t="str">
            <v>Plátano</v>
          </cell>
          <cell r="D166" t="str">
            <v>Popocho</v>
          </cell>
          <cell r="F166" t="str">
            <v>Pulpa</v>
          </cell>
          <cell r="G166" t="str">
            <v>Verde</v>
          </cell>
          <cell r="H166" t="str">
            <v>Pelado</v>
          </cell>
          <cell r="L166" t="str">
            <v>Cachaco o topocho</v>
          </cell>
          <cell r="M166" t="str">
            <v>Musa</v>
          </cell>
          <cell r="N166" t="str">
            <v>paradisiaca</v>
          </cell>
          <cell r="O166" t="str">
            <v>Troglodytarum L,</v>
          </cell>
          <cell r="P166" t="str">
            <v>232</v>
          </cell>
          <cell r="Q166" t="str">
            <v>No reporta</v>
          </cell>
          <cell r="R166" t="str">
            <v>Plátano popocho , verde</v>
          </cell>
          <cell r="S166">
            <v>68.900000000000006</v>
          </cell>
          <cell r="U166" t="str">
            <v>c</v>
          </cell>
        </row>
        <row r="167">
          <cell r="A167">
            <v>277</v>
          </cell>
          <cell r="B167" t="str">
            <v>Plátano verde</v>
          </cell>
          <cell r="C167" t="str">
            <v>Plátano</v>
          </cell>
          <cell r="F167" t="str">
            <v>Pulpa</v>
          </cell>
          <cell r="G167" t="str">
            <v>Verde</v>
          </cell>
          <cell r="H167" t="str">
            <v>Pelado</v>
          </cell>
          <cell r="M167" t="str">
            <v>Musa</v>
          </cell>
          <cell r="N167" t="str">
            <v>spp</v>
          </cell>
          <cell r="P167" t="str">
            <v>200, 219</v>
          </cell>
          <cell r="Q167" t="str">
            <v>No reporta</v>
          </cell>
          <cell r="R167" t="str">
            <v>Plátano verde</v>
          </cell>
          <cell r="S167">
            <v>60.8</v>
          </cell>
          <cell r="U167" t="str">
            <v>c</v>
          </cell>
        </row>
        <row r="168">
          <cell r="A168">
            <v>279</v>
          </cell>
          <cell r="B168" t="str">
            <v>Rábano rojo</v>
          </cell>
          <cell r="C168" t="str">
            <v>Rábano</v>
          </cell>
          <cell r="D168" t="str">
            <v>Rojo</v>
          </cell>
          <cell r="F168" t="str">
            <v>Tubérculo con cáscara</v>
          </cell>
          <cell r="G168" t="str">
            <v>Maduro</v>
          </cell>
          <cell r="H168" t="str">
            <v>Lavado</v>
          </cell>
          <cell r="M168" t="str">
            <v>Raphanus</v>
          </cell>
          <cell r="N168" t="str">
            <v>sativus L</v>
          </cell>
          <cell r="P168" t="str">
            <v>232</v>
          </cell>
          <cell r="Q168" t="str">
            <v>No reporta</v>
          </cell>
          <cell r="R168" t="str">
            <v>Rábano rojo</v>
          </cell>
          <cell r="S168">
            <v>94.7</v>
          </cell>
          <cell r="U168" t="str">
            <v>c</v>
          </cell>
        </row>
        <row r="169">
          <cell r="A169">
            <v>280</v>
          </cell>
          <cell r="B169" t="str">
            <v>Remolacha</v>
          </cell>
          <cell r="C169" t="str">
            <v>Remolacha</v>
          </cell>
          <cell r="F169" t="str">
            <v>Raíz sin cáscara</v>
          </cell>
          <cell r="G169" t="str">
            <v>Maduro</v>
          </cell>
          <cell r="H169" t="str">
            <v>Lavado</v>
          </cell>
          <cell r="I169" t="str">
            <v>Pelado</v>
          </cell>
          <cell r="L169" t="str">
            <v>Batarraga, Betabel</v>
          </cell>
          <cell r="M169" t="str">
            <v>Beta</v>
          </cell>
          <cell r="N169" t="str">
            <v>vulgaris</v>
          </cell>
          <cell r="O169" t="str">
            <v>Rubra</v>
          </cell>
          <cell r="P169" t="str">
            <v>232</v>
          </cell>
          <cell r="Q169" t="str">
            <v>No reporta</v>
          </cell>
          <cell r="R169" t="str">
            <v>Remolacha</v>
          </cell>
          <cell r="S169">
            <v>87.2</v>
          </cell>
          <cell r="U169" t="str">
            <v>c</v>
          </cell>
        </row>
        <row r="170">
          <cell r="A170">
            <v>281</v>
          </cell>
          <cell r="B170" t="str">
            <v>Repollitas de Bruselas</v>
          </cell>
          <cell r="C170" t="str">
            <v>Repollitas</v>
          </cell>
          <cell r="D170" t="str">
            <v>De Bruselas</v>
          </cell>
          <cell r="F170" t="str">
            <v>Hoja brote</v>
          </cell>
          <cell r="G170" t="str">
            <v>Fresca</v>
          </cell>
          <cell r="H170" t="str">
            <v>Lavado</v>
          </cell>
          <cell r="L170" t="str">
            <v>Col de Bruselas</v>
          </cell>
          <cell r="M170" t="str">
            <v>Brassica</v>
          </cell>
          <cell r="N170" t="str">
            <v>oleracea</v>
          </cell>
          <cell r="O170" t="str">
            <v>Gemmifera Zenk</v>
          </cell>
          <cell r="P170" t="str">
            <v>232</v>
          </cell>
          <cell r="Q170" t="str">
            <v>No reporta</v>
          </cell>
          <cell r="R170" t="str">
            <v>Repollitas de Bruselas</v>
          </cell>
          <cell r="S170">
            <v>85.8</v>
          </cell>
          <cell r="U170" t="str">
            <v>c</v>
          </cell>
        </row>
        <row r="171">
          <cell r="A171">
            <v>282</v>
          </cell>
          <cell r="B171" t="str">
            <v>Repollo</v>
          </cell>
          <cell r="C171" t="str">
            <v>Repollo</v>
          </cell>
          <cell r="F171" t="str">
            <v>Hojas verdes sin venas</v>
          </cell>
          <cell r="G171" t="str">
            <v>Verde</v>
          </cell>
          <cell r="H171" t="str">
            <v>Lavado</v>
          </cell>
          <cell r="L171" t="str">
            <v>Col</v>
          </cell>
          <cell r="M171" t="str">
            <v>Brassica</v>
          </cell>
          <cell r="N171" t="str">
            <v>oleracea</v>
          </cell>
          <cell r="O171" t="str">
            <v>Capitala L,</v>
          </cell>
          <cell r="P171" t="str">
            <v>232</v>
          </cell>
          <cell r="Q171" t="str">
            <v>No reporta</v>
          </cell>
          <cell r="R171" t="str">
            <v>Repollo</v>
          </cell>
          <cell r="S171">
            <v>90.8</v>
          </cell>
          <cell r="U171" t="str">
            <v>c</v>
          </cell>
        </row>
        <row r="172">
          <cell r="A172">
            <v>283</v>
          </cell>
          <cell r="B172" t="str">
            <v>Repollo</v>
          </cell>
          <cell r="C172" t="str">
            <v>Repollo</v>
          </cell>
          <cell r="F172" t="str">
            <v>Hoja tierna</v>
          </cell>
          <cell r="H172" t="str">
            <v>Lavado</v>
          </cell>
          <cell r="L172" t="str">
            <v>Col</v>
          </cell>
          <cell r="M172" t="str">
            <v>Brassica</v>
          </cell>
          <cell r="N172" t="str">
            <v>oleracea</v>
          </cell>
          <cell r="O172" t="str">
            <v>Capitala L, Blanca</v>
          </cell>
          <cell r="P172" t="str">
            <v>232</v>
          </cell>
          <cell r="Q172" t="str">
            <v>No reporta</v>
          </cell>
          <cell r="R172" t="str">
            <v>Repollo</v>
          </cell>
          <cell r="S172">
            <v>91.8</v>
          </cell>
          <cell r="U172" t="str">
            <v>c</v>
          </cell>
        </row>
        <row r="173">
          <cell r="A173">
            <v>284</v>
          </cell>
          <cell r="B173" t="str">
            <v>Repollo morado</v>
          </cell>
          <cell r="C173" t="str">
            <v>Repollo</v>
          </cell>
          <cell r="D173" t="str">
            <v>Morado</v>
          </cell>
          <cell r="F173" t="str">
            <v>Hojas</v>
          </cell>
          <cell r="G173" t="str">
            <v>Madurez fisiológica</v>
          </cell>
          <cell r="H173" t="str">
            <v>Lavado</v>
          </cell>
          <cell r="L173" t="str">
            <v>Col</v>
          </cell>
          <cell r="M173" t="str">
            <v>Brassica</v>
          </cell>
          <cell r="N173" t="str">
            <v>oleracea</v>
          </cell>
          <cell r="P173" t="str">
            <v>234, 235</v>
          </cell>
          <cell r="R173" t="str">
            <v>Repollo morado</v>
          </cell>
          <cell r="S173">
            <v>91.1</v>
          </cell>
          <cell r="U173" t="str">
            <v>d</v>
          </cell>
        </row>
        <row r="174">
          <cell r="A174">
            <v>285</v>
          </cell>
          <cell r="B174" t="str">
            <v>Repollo morado, cocido</v>
          </cell>
          <cell r="C174" t="str">
            <v>Repollo</v>
          </cell>
          <cell r="D174" t="str">
            <v>Morado</v>
          </cell>
          <cell r="F174" t="str">
            <v>Hojas</v>
          </cell>
          <cell r="G174" t="str">
            <v>Madurez fisiológica</v>
          </cell>
          <cell r="H174" t="str">
            <v>Lavado</v>
          </cell>
          <cell r="I174" t="str">
            <v>Cocido</v>
          </cell>
          <cell r="L174" t="str">
            <v>Col</v>
          </cell>
          <cell r="M174" t="str">
            <v>Brassica</v>
          </cell>
          <cell r="N174" t="str">
            <v>oleracea</v>
          </cell>
          <cell r="P174" t="str">
            <v>234, 236</v>
          </cell>
          <cell r="R174" t="str">
            <v>Repollo morado, cocido</v>
          </cell>
          <cell r="S174">
            <v>93.6</v>
          </cell>
          <cell r="U174" t="str">
            <v>d</v>
          </cell>
        </row>
        <row r="175">
          <cell r="A175">
            <v>286</v>
          </cell>
          <cell r="B175" t="str">
            <v>Ruibarbo</v>
          </cell>
          <cell r="C175" t="str">
            <v>Ruibarbo</v>
          </cell>
          <cell r="F175" t="str">
            <v>Tallo</v>
          </cell>
          <cell r="H175" t="str">
            <v>Lavado</v>
          </cell>
          <cell r="M175" t="str">
            <v>Rheum</v>
          </cell>
          <cell r="N175" t="str">
            <v>officinale</v>
          </cell>
          <cell r="O175" t="str">
            <v>Baill</v>
          </cell>
          <cell r="P175" t="str">
            <v>232</v>
          </cell>
          <cell r="Q175" t="str">
            <v>No reporta</v>
          </cell>
          <cell r="R175" t="str">
            <v>Ruibarbo</v>
          </cell>
          <cell r="S175">
            <v>94.9</v>
          </cell>
          <cell r="U175" t="str">
            <v>c</v>
          </cell>
        </row>
        <row r="176">
          <cell r="A176">
            <v>287</v>
          </cell>
          <cell r="B176" t="str">
            <v>Salsifí</v>
          </cell>
          <cell r="C176" t="str">
            <v>Salsifí</v>
          </cell>
          <cell r="F176" t="str">
            <v>Raíz</v>
          </cell>
          <cell r="H176" t="str">
            <v>Lavado</v>
          </cell>
          <cell r="L176" t="str">
            <v>Salsifí blanco, Baraba de cabra</v>
          </cell>
          <cell r="M176" t="str">
            <v>Tragopogon</v>
          </cell>
          <cell r="N176" t="str">
            <v>porrifolius L,</v>
          </cell>
          <cell r="P176" t="str">
            <v>232</v>
          </cell>
          <cell r="Q176" t="str">
            <v>No reporta</v>
          </cell>
          <cell r="R176" t="str">
            <v>Salsifí</v>
          </cell>
          <cell r="S176">
            <v>75.400000000000006</v>
          </cell>
          <cell r="U176" t="str">
            <v>c</v>
          </cell>
        </row>
        <row r="177">
          <cell r="A177">
            <v>288</v>
          </cell>
          <cell r="B177" t="str">
            <v>Tallos</v>
          </cell>
          <cell r="C177" t="str">
            <v>Tallos</v>
          </cell>
          <cell r="F177" t="str">
            <v>Hojas sin venas</v>
          </cell>
          <cell r="H177" t="str">
            <v>Lavado</v>
          </cell>
          <cell r="L177" t="str">
            <v>Tallos, breton, berza, col</v>
          </cell>
          <cell r="M177" t="str">
            <v>Brassica</v>
          </cell>
          <cell r="N177" t="str">
            <v>oleracea</v>
          </cell>
          <cell r="O177" t="str">
            <v>Acephala</v>
          </cell>
          <cell r="P177" t="str">
            <v>232</v>
          </cell>
          <cell r="Q177" t="str">
            <v>No reporta</v>
          </cell>
          <cell r="R177" t="str">
            <v>Tallos</v>
          </cell>
          <cell r="S177">
            <v>86.7</v>
          </cell>
          <cell r="U177" t="str">
            <v>c</v>
          </cell>
        </row>
        <row r="178">
          <cell r="A178">
            <v>289</v>
          </cell>
          <cell r="B178" t="str">
            <v>Tomate chonto</v>
          </cell>
          <cell r="C178" t="str">
            <v>Tomate</v>
          </cell>
          <cell r="D178" t="str">
            <v>Chonto</v>
          </cell>
          <cell r="F178" t="str">
            <v>Pulpa sin cáscara ni semillas</v>
          </cell>
          <cell r="H178" t="str">
            <v>Lavado</v>
          </cell>
          <cell r="I178" t="str">
            <v>Escaldado</v>
          </cell>
          <cell r="J178" t="str">
            <v>Pelado</v>
          </cell>
          <cell r="M178" t="str">
            <v>Lycopersicum</v>
          </cell>
          <cell r="N178" t="str">
            <v>esculentum</v>
          </cell>
          <cell r="P178" t="str">
            <v>105</v>
          </cell>
          <cell r="Q178" t="str">
            <v>Manizales</v>
          </cell>
          <cell r="R178" t="str">
            <v>Tomate chonto</v>
          </cell>
          <cell r="S178">
            <v>94.1</v>
          </cell>
          <cell r="T178">
            <v>0.3</v>
          </cell>
          <cell r="U178" t="str">
            <v>c</v>
          </cell>
        </row>
        <row r="179">
          <cell r="A179">
            <v>292</v>
          </cell>
          <cell r="B179" t="str">
            <v>Yuca</v>
          </cell>
          <cell r="C179" t="str">
            <v>Yuca</v>
          </cell>
          <cell r="F179" t="str">
            <v>Pulpa sin cáscara</v>
          </cell>
          <cell r="H179" t="str">
            <v>Pelado</v>
          </cell>
          <cell r="M179" t="str">
            <v>Manihot</v>
          </cell>
          <cell r="N179" t="str">
            <v>esculenta</v>
          </cell>
          <cell r="P179" t="str">
            <v>219</v>
          </cell>
          <cell r="Q179" t="str">
            <v>Cauca</v>
          </cell>
          <cell r="R179" t="str">
            <v>Yuca</v>
          </cell>
          <cell r="S179">
            <v>60.9</v>
          </cell>
          <cell r="T179">
            <v>2.5</v>
          </cell>
          <cell r="U179" t="str">
            <v>b</v>
          </cell>
        </row>
        <row r="180">
          <cell r="A180">
            <v>296</v>
          </cell>
          <cell r="B180" t="str">
            <v>Yuca colorada</v>
          </cell>
          <cell r="C180" t="str">
            <v>Yuca</v>
          </cell>
          <cell r="D180" t="str">
            <v>Colorada</v>
          </cell>
          <cell r="F180" t="str">
            <v>Pulpa</v>
          </cell>
          <cell r="H180" t="str">
            <v>Pelado</v>
          </cell>
          <cell r="M180" t="str">
            <v>Manihot</v>
          </cell>
          <cell r="N180" t="str">
            <v>esculenta</v>
          </cell>
          <cell r="P180" t="str">
            <v>171</v>
          </cell>
          <cell r="Q180" t="str">
            <v>Huila</v>
          </cell>
          <cell r="R180" t="str">
            <v>Yuca colorada</v>
          </cell>
          <cell r="S180">
            <v>63.4</v>
          </cell>
          <cell r="U180" t="str">
            <v>c</v>
          </cell>
        </row>
        <row r="181">
          <cell r="A181">
            <v>297</v>
          </cell>
          <cell r="B181" t="str">
            <v>Yuca noli grande</v>
          </cell>
          <cell r="C181" t="str">
            <v>Yuca</v>
          </cell>
          <cell r="D181" t="str">
            <v>Noli grande</v>
          </cell>
          <cell r="F181" t="str">
            <v>Pulpa</v>
          </cell>
          <cell r="H181" t="str">
            <v>Pelado</v>
          </cell>
          <cell r="M181" t="str">
            <v>Manihot</v>
          </cell>
          <cell r="N181" t="str">
            <v>esculenta</v>
          </cell>
          <cell r="O181" t="str">
            <v>Noli grande</v>
          </cell>
          <cell r="P181" t="str">
            <v>171</v>
          </cell>
          <cell r="Q181" t="str">
            <v>Huila</v>
          </cell>
          <cell r="R181" t="str">
            <v>Yuca noli grande</v>
          </cell>
          <cell r="S181">
            <v>65.2</v>
          </cell>
          <cell r="U181" t="str">
            <v>c</v>
          </cell>
        </row>
        <row r="182">
          <cell r="A182">
            <v>298</v>
          </cell>
          <cell r="B182" t="str">
            <v>Yuca noli pequeña</v>
          </cell>
          <cell r="C182" t="str">
            <v>Yuca</v>
          </cell>
          <cell r="D182" t="str">
            <v>Noli pequeña</v>
          </cell>
          <cell r="F182" t="str">
            <v>Pulpa</v>
          </cell>
          <cell r="H182" t="str">
            <v>Pelado</v>
          </cell>
          <cell r="M182" t="str">
            <v>Manihot</v>
          </cell>
          <cell r="N182" t="str">
            <v>esculenta</v>
          </cell>
          <cell r="O182" t="str">
            <v>Noli pequeña</v>
          </cell>
          <cell r="P182" t="str">
            <v>171</v>
          </cell>
          <cell r="Q182" t="str">
            <v>Huila</v>
          </cell>
          <cell r="R182" t="str">
            <v>Yuca noli pequeña</v>
          </cell>
          <cell r="S182">
            <v>58.7</v>
          </cell>
          <cell r="U182" t="str">
            <v>c</v>
          </cell>
        </row>
        <row r="183">
          <cell r="A183">
            <v>299</v>
          </cell>
          <cell r="B183" t="str">
            <v>Yuca virgencita</v>
          </cell>
          <cell r="C183" t="str">
            <v>Yuca</v>
          </cell>
          <cell r="D183" t="str">
            <v>Virgencita</v>
          </cell>
          <cell r="F183" t="str">
            <v>Pulpa</v>
          </cell>
          <cell r="H183" t="str">
            <v>Pelado</v>
          </cell>
          <cell r="M183" t="str">
            <v>Manihot</v>
          </cell>
          <cell r="N183" t="str">
            <v>esculenta</v>
          </cell>
          <cell r="O183" t="str">
            <v>Virgencita</v>
          </cell>
          <cell r="P183" t="str">
            <v>171</v>
          </cell>
          <cell r="Q183" t="str">
            <v>Huila</v>
          </cell>
          <cell r="R183" t="str">
            <v>Yuca virgencita</v>
          </cell>
          <cell r="S183">
            <v>63.1</v>
          </cell>
          <cell r="U183" t="str">
            <v>c</v>
          </cell>
        </row>
        <row r="184">
          <cell r="A184">
            <v>300</v>
          </cell>
          <cell r="B184" t="str">
            <v>Zanahoria</v>
          </cell>
          <cell r="C184" t="str">
            <v>Zanahoria</v>
          </cell>
          <cell r="F184" t="str">
            <v>Raíz sin cáscara</v>
          </cell>
          <cell r="H184" t="str">
            <v>Lavado</v>
          </cell>
          <cell r="I184" t="str">
            <v>Pelado</v>
          </cell>
          <cell r="M184" t="str">
            <v>Daucus</v>
          </cell>
          <cell r="N184" t="str">
            <v>carota L,</v>
          </cell>
          <cell r="P184" t="str">
            <v>232</v>
          </cell>
          <cell r="Q184" t="str">
            <v>No reporta</v>
          </cell>
          <cell r="R184" t="str">
            <v>Zanahoria</v>
          </cell>
          <cell r="S184">
            <v>88.9</v>
          </cell>
          <cell r="U184" t="str">
            <v>c</v>
          </cell>
        </row>
        <row r="185">
          <cell r="A185">
            <v>301</v>
          </cell>
          <cell r="B185" t="str">
            <v>Zanahoria, cocida</v>
          </cell>
          <cell r="C185" t="str">
            <v>Zanahoria</v>
          </cell>
          <cell r="F185" t="str">
            <v>Raíz sin cáscara</v>
          </cell>
          <cell r="G185" t="str">
            <v>Madurez fisiológica</v>
          </cell>
          <cell r="H185" t="str">
            <v>Lavado</v>
          </cell>
          <cell r="I185" t="str">
            <v>Pelado</v>
          </cell>
          <cell r="J185" t="str">
            <v>Cocido</v>
          </cell>
          <cell r="M185" t="str">
            <v>Daucus</v>
          </cell>
          <cell r="N185" t="str">
            <v>carota L,</v>
          </cell>
          <cell r="P185" t="str">
            <v>234, 235</v>
          </cell>
          <cell r="R185" t="str">
            <v>Zanahoria, cocida</v>
          </cell>
          <cell r="S185">
            <v>87.4</v>
          </cell>
          <cell r="U185" t="str">
            <v>d</v>
          </cell>
        </row>
        <row r="186">
          <cell r="A186">
            <v>304</v>
          </cell>
          <cell r="B186" t="str">
            <v>Aguacate, pulpa sin semilla,</v>
          </cell>
          <cell r="C186" t="str">
            <v>Aguacate</v>
          </cell>
          <cell r="F186" t="str">
            <v>Pulpa sin semilla</v>
          </cell>
          <cell r="G186" t="str">
            <v>Maduro</v>
          </cell>
          <cell r="H186" t="str">
            <v>Lavado</v>
          </cell>
          <cell r="I186" t="str">
            <v>Extracción de pulpa</v>
          </cell>
          <cell r="L186" t="str">
            <v>Palta, cura</v>
          </cell>
          <cell r="M186" t="str">
            <v>Percea</v>
          </cell>
          <cell r="N186" t="str">
            <v>americana</v>
          </cell>
          <cell r="P186" t="str">
            <v>232</v>
          </cell>
          <cell r="Q186" t="str">
            <v>No reporta</v>
          </cell>
          <cell r="R186" t="str">
            <v>Aguacate, pulpa sin semilla,</v>
          </cell>
          <cell r="S186">
            <v>79.7</v>
          </cell>
          <cell r="U186" t="str">
            <v>c</v>
          </cell>
        </row>
        <row r="187">
          <cell r="A187">
            <v>305</v>
          </cell>
          <cell r="B187" t="str">
            <v>Almendra</v>
          </cell>
          <cell r="C187" t="str">
            <v>Almendra</v>
          </cell>
          <cell r="F187" t="str">
            <v>Grano</v>
          </cell>
          <cell r="H187" t="str">
            <v>Extracción de almendra</v>
          </cell>
          <cell r="M187" t="str">
            <v>Prunus</v>
          </cell>
          <cell r="N187" t="str">
            <v>amygdalus</v>
          </cell>
          <cell r="P187" t="str">
            <v>28</v>
          </cell>
          <cell r="Q187" t="str">
            <v>Nariño</v>
          </cell>
          <cell r="R187" t="str">
            <v>Almendra</v>
          </cell>
          <cell r="S187">
            <v>12</v>
          </cell>
          <cell r="U187" t="str">
            <v>c</v>
          </cell>
        </row>
        <row r="188">
          <cell r="A188">
            <v>307</v>
          </cell>
          <cell r="B188" t="str">
            <v>Anón</v>
          </cell>
          <cell r="C188" t="str">
            <v>Anón</v>
          </cell>
          <cell r="F188" t="str">
            <v>Pulpa sin semillas</v>
          </cell>
          <cell r="G188" t="str">
            <v>Maduro</v>
          </cell>
          <cell r="H188" t="str">
            <v>Lavado</v>
          </cell>
          <cell r="I188" t="str">
            <v>Extracción de pulpa</v>
          </cell>
          <cell r="L188" t="str">
            <v>Viñón, saramuyo</v>
          </cell>
          <cell r="M188" t="str">
            <v>Annona</v>
          </cell>
          <cell r="N188" t="str">
            <v>squamosa L,</v>
          </cell>
          <cell r="P188" t="str">
            <v>232</v>
          </cell>
          <cell r="Q188" t="str">
            <v>No reporta</v>
          </cell>
          <cell r="R188" t="str">
            <v>Anón</v>
          </cell>
          <cell r="S188">
            <v>69.7</v>
          </cell>
          <cell r="U188" t="str">
            <v>c</v>
          </cell>
        </row>
        <row r="189">
          <cell r="A189">
            <v>308</v>
          </cell>
          <cell r="B189" t="str">
            <v>Anón amazónico</v>
          </cell>
          <cell r="C189" t="str">
            <v>Anón</v>
          </cell>
          <cell r="D189" t="str">
            <v>Amazonico</v>
          </cell>
          <cell r="F189" t="str">
            <v>Pulpa</v>
          </cell>
          <cell r="G189" t="str">
            <v>Madura</v>
          </cell>
          <cell r="H189" t="str">
            <v>Lavado</v>
          </cell>
          <cell r="I189" t="str">
            <v>Extracción de pulpa</v>
          </cell>
          <cell r="M189" t="str">
            <v>Rollina</v>
          </cell>
          <cell r="N189" t="str">
            <v>mucosa</v>
          </cell>
          <cell r="P189" t="str">
            <v>164, 230</v>
          </cell>
          <cell r="Q189" t="str">
            <v>Amazonía colombiana</v>
          </cell>
          <cell r="R189" t="str">
            <v>Anón amazónico</v>
          </cell>
          <cell r="S189">
            <v>84.7</v>
          </cell>
          <cell r="T189">
            <v>0.9</v>
          </cell>
          <cell r="U189" t="str">
            <v>b</v>
          </cell>
        </row>
        <row r="190">
          <cell r="A190">
            <v>312</v>
          </cell>
          <cell r="B190" t="str">
            <v>Árbol del pan, pulpa cocida</v>
          </cell>
          <cell r="C190" t="str">
            <v>Árbol del Pan</v>
          </cell>
          <cell r="F190" t="str">
            <v>Pulpa cocida</v>
          </cell>
          <cell r="G190" t="str">
            <v>Maduro</v>
          </cell>
          <cell r="H190" t="str">
            <v>Lavado</v>
          </cell>
          <cell r="I190" t="str">
            <v>Extracción de pulpa</v>
          </cell>
          <cell r="J190" t="str">
            <v>Cocido</v>
          </cell>
          <cell r="M190" t="str">
            <v>Artocarpus</v>
          </cell>
          <cell r="N190" t="str">
            <v>communis</v>
          </cell>
          <cell r="P190" t="str">
            <v>232</v>
          </cell>
          <cell r="Q190" t="str">
            <v>No reporta</v>
          </cell>
          <cell r="R190" t="str">
            <v>Árbol del pan, pulpa cocida</v>
          </cell>
          <cell r="S190">
            <v>62.5</v>
          </cell>
          <cell r="U190" t="str">
            <v>c</v>
          </cell>
        </row>
        <row r="191">
          <cell r="A191">
            <v>314</v>
          </cell>
          <cell r="B191" t="str">
            <v>Banano chiro</v>
          </cell>
          <cell r="C191" t="str">
            <v>Banano</v>
          </cell>
          <cell r="D191" t="str">
            <v>Chiro</v>
          </cell>
          <cell r="F191" t="str">
            <v>Pulpa sin cáscara</v>
          </cell>
          <cell r="G191" t="str">
            <v>Maduro</v>
          </cell>
          <cell r="H191" t="str">
            <v>Pelado</v>
          </cell>
          <cell r="M191" t="str">
            <v>Musa</v>
          </cell>
          <cell r="N191" t="str">
            <v>spp</v>
          </cell>
          <cell r="O191" t="str">
            <v>Chiro</v>
          </cell>
          <cell r="P191" t="str">
            <v>219</v>
          </cell>
          <cell r="Q191" t="str">
            <v>Cauca</v>
          </cell>
          <cell r="R191" t="str">
            <v>Banano chiro</v>
          </cell>
          <cell r="S191">
            <v>57.3</v>
          </cell>
          <cell r="U191" t="str">
            <v>c</v>
          </cell>
        </row>
        <row r="192">
          <cell r="A192">
            <v>315</v>
          </cell>
          <cell r="B192" t="str">
            <v>Banano maduro</v>
          </cell>
          <cell r="C192" t="str">
            <v>Banano</v>
          </cell>
          <cell r="F192" t="str">
            <v>Pulpa</v>
          </cell>
          <cell r="G192" t="str">
            <v>Maduro</v>
          </cell>
          <cell r="H192" t="str">
            <v>Pelado</v>
          </cell>
          <cell r="M192" t="str">
            <v>Musa</v>
          </cell>
          <cell r="N192" t="str">
            <v>spp</v>
          </cell>
          <cell r="P192" t="str">
            <v>232, 139, 97</v>
          </cell>
          <cell r="Q192" t="str">
            <v>Muestra comercial</v>
          </cell>
          <cell r="R192" t="str">
            <v>Banano maduro</v>
          </cell>
          <cell r="S192">
            <v>75.5</v>
          </cell>
          <cell r="T192">
            <v>1.8</v>
          </cell>
          <cell r="U192" t="str">
            <v>b</v>
          </cell>
        </row>
        <row r="193">
          <cell r="A193">
            <v>316</v>
          </cell>
          <cell r="B193" t="str">
            <v>Banano manzano</v>
          </cell>
          <cell r="C193" t="str">
            <v>Banano</v>
          </cell>
          <cell r="D193" t="str">
            <v>Manzano</v>
          </cell>
          <cell r="F193" t="str">
            <v>Pulpa</v>
          </cell>
          <cell r="G193" t="str">
            <v>Madura</v>
          </cell>
          <cell r="H193" t="str">
            <v>Pelado</v>
          </cell>
          <cell r="L193" t="str">
            <v>Banana</v>
          </cell>
          <cell r="M193" t="str">
            <v>Musa</v>
          </cell>
          <cell r="N193" t="str">
            <v>sinensis</v>
          </cell>
          <cell r="O193" t="str">
            <v>Sweet</v>
          </cell>
          <cell r="P193" t="str">
            <v>232</v>
          </cell>
          <cell r="Q193" t="str">
            <v>No reporta</v>
          </cell>
          <cell r="R193" t="str">
            <v>Banano manzano</v>
          </cell>
          <cell r="S193">
            <v>69.599999999999994</v>
          </cell>
          <cell r="U193" t="str">
            <v>c</v>
          </cell>
        </row>
        <row r="194">
          <cell r="A194">
            <v>317</v>
          </cell>
          <cell r="B194" t="str">
            <v>Banano pacífico</v>
          </cell>
          <cell r="C194" t="str">
            <v>Banano</v>
          </cell>
          <cell r="D194" t="str">
            <v>Pacífico</v>
          </cell>
          <cell r="F194" t="str">
            <v>Pulpa</v>
          </cell>
          <cell r="G194" t="str">
            <v>Maduro</v>
          </cell>
          <cell r="H194" t="str">
            <v>Pelado</v>
          </cell>
          <cell r="L194" t="str">
            <v>Banana</v>
          </cell>
          <cell r="M194" t="str">
            <v>Musa</v>
          </cell>
          <cell r="N194" t="str">
            <v>rosacea</v>
          </cell>
          <cell r="P194" t="str">
            <v>232</v>
          </cell>
          <cell r="Q194" t="str">
            <v>No reporta</v>
          </cell>
          <cell r="R194" t="str">
            <v>Banano pacífico</v>
          </cell>
          <cell r="S194">
            <v>71.2</v>
          </cell>
          <cell r="U194" t="str">
            <v>c</v>
          </cell>
        </row>
        <row r="195">
          <cell r="A195">
            <v>319</v>
          </cell>
          <cell r="B195" t="str">
            <v>Borojó</v>
          </cell>
          <cell r="C195" t="str">
            <v>Borojó</v>
          </cell>
          <cell r="F195" t="str">
            <v>Pulpa</v>
          </cell>
          <cell r="G195" t="str">
            <v>Maduro</v>
          </cell>
          <cell r="H195" t="str">
            <v>Lavado</v>
          </cell>
          <cell r="I195" t="str">
            <v>Extracción de pulpa</v>
          </cell>
          <cell r="M195" t="str">
            <v>Borojoa</v>
          </cell>
          <cell r="N195" t="str">
            <v>patiño C,</v>
          </cell>
          <cell r="P195" t="str">
            <v>232, 137, 230</v>
          </cell>
          <cell r="Q195" t="str">
            <v>Cauca</v>
          </cell>
          <cell r="R195" t="str">
            <v>Borojó</v>
          </cell>
          <cell r="S195">
            <v>64</v>
          </cell>
          <cell r="T195">
            <v>2.2999999999999998</v>
          </cell>
          <cell r="U195" t="str">
            <v>b</v>
          </cell>
        </row>
        <row r="196">
          <cell r="A196">
            <v>320</v>
          </cell>
          <cell r="B196" t="str">
            <v>Breva</v>
          </cell>
          <cell r="C196" t="str">
            <v>Breva</v>
          </cell>
          <cell r="F196" t="str">
            <v>Fruto entero</v>
          </cell>
          <cell r="G196" t="str">
            <v>Madura</v>
          </cell>
          <cell r="H196" t="str">
            <v>Lavado</v>
          </cell>
          <cell r="L196" t="str">
            <v>Higo</v>
          </cell>
          <cell r="M196" t="str">
            <v>Ficus</v>
          </cell>
          <cell r="N196" t="str">
            <v>carica</v>
          </cell>
          <cell r="P196" t="str">
            <v>232</v>
          </cell>
          <cell r="Q196" t="str">
            <v>No reporta</v>
          </cell>
          <cell r="R196" t="str">
            <v>Breva</v>
          </cell>
          <cell r="S196">
            <v>89</v>
          </cell>
          <cell r="U196" t="str">
            <v>c</v>
          </cell>
        </row>
        <row r="197">
          <cell r="A197">
            <v>321</v>
          </cell>
          <cell r="B197" t="str">
            <v>Breva verde</v>
          </cell>
          <cell r="C197" t="str">
            <v>Breva</v>
          </cell>
          <cell r="F197" t="str">
            <v>Fruto entero</v>
          </cell>
          <cell r="G197" t="str">
            <v>Verde</v>
          </cell>
          <cell r="H197" t="str">
            <v>Lavado</v>
          </cell>
          <cell r="L197" t="str">
            <v>Higo</v>
          </cell>
          <cell r="M197" t="str">
            <v>Ficus</v>
          </cell>
          <cell r="N197" t="str">
            <v>carica</v>
          </cell>
          <cell r="P197" t="str">
            <v>232</v>
          </cell>
          <cell r="Q197" t="str">
            <v>No reporta</v>
          </cell>
          <cell r="R197" t="str">
            <v>Breva verde</v>
          </cell>
          <cell r="S197">
            <v>86.1</v>
          </cell>
          <cell r="U197" t="str">
            <v>c</v>
          </cell>
        </row>
        <row r="198">
          <cell r="A198">
            <v>322</v>
          </cell>
          <cell r="B198" t="str">
            <v>Caimo morado</v>
          </cell>
          <cell r="C198" t="str">
            <v>Caimo</v>
          </cell>
          <cell r="F198" t="str">
            <v>Pulpa sin semillas</v>
          </cell>
          <cell r="G198" t="str">
            <v>Maduro</v>
          </cell>
          <cell r="H198" t="str">
            <v>Lavado</v>
          </cell>
          <cell r="I198" t="str">
            <v>Extracción de pulpa</v>
          </cell>
          <cell r="L198" t="str">
            <v>Caimito, madura verde,</v>
          </cell>
          <cell r="M198" t="str">
            <v>Chrysophyllum</v>
          </cell>
          <cell r="N198" t="str">
            <v>cainito L,</v>
          </cell>
          <cell r="O198" t="str">
            <v>Morado</v>
          </cell>
          <cell r="P198" t="str">
            <v>232</v>
          </cell>
          <cell r="Q198" t="str">
            <v>No reporta</v>
          </cell>
          <cell r="R198" t="str">
            <v>Caimo morado</v>
          </cell>
          <cell r="S198">
            <v>84.5</v>
          </cell>
          <cell r="U198" t="str">
            <v>c</v>
          </cell>
        </row>
        <row r="199">
          <cell r="A199">
            <v>323</v>
          </cell>
          <cell r="B199" t="str">
            <v>Cañafistula</v>
          </cell>
          <cell r="C199" t="str">
            <v>Cañafistula</v>
          </cell>
          <cell r="F199" t="str">
            <v>Pulpa</v>
          </cell>
          <cell r="H199" t="str">
            <v>Lavado</v>
          </cell>
          <cell r="I199" t="str">
            <v>Extracción de pulpa</v>
          </cell>
          <cell r="M199" t="str">
            <v>Cassia</v>
          </cell>
          <cell r="N199" t="str">
            <v>grandis</v>
          </cell>
          <cell r="P199" t="str">
            <v>44</v>
          </cell>
          <cell r="Q199" t="str">
            <v>No reporta</v>
          </cell>
          <cell r="R199" t="str">
            <v>Cañafistula</v>
          </cell>
          <cell r="S199">
            <v>25</v>
          </cell>
          <cell r="U199" t="str">
            <v>c</v>
          </cell>
        </row>
        <row r="200">
          <cell r="A200">
            <v>324</v>
          </cell>
          <cell r="B200" t="str">
            <v>Carambola</v>
          </cell>
          <cell r="C200" t="str">
            <v>Carambola</v>
          </cell>
          <cell r="F200" t="str">
            <v>Fruto entero</v>
          </cell>
          <cell r="G200" t="str">
            <v>Madura</v>
          </cell>
          <cell r="H200" t="str">
            <v>Lavado</v>
          </cell>
          <cell r="M200" t="str">
            <v>Averrhoa</v>
          </cell>
          <cell r="N200" t="str">
            <v>carambola L</v>
          </cell>
          <cell r="P200" t="str">
            <v>89</v>
          </cell>
          <cell r="Q200" t="str">
            <v>Tolima</v>
          </cell>
          <cell r="R200" t="str">
            <v>Carambola</v>
          </cell>
          <cell r="S200">
            <v>88.4</v>
          </cell>
          <cell r="T200">
            <v>0.5</v>
          </cell>
          <cell r="U200" t="str">
            <v>b</v>
          </cell>
        </row>
        <row r="201">
          <cell r="A201">
            <v>328</v>
          </cell>
          <cell r="B201" t="str">
            <v>Cereza</v>
          </cell>
          <cell r="C201" t="str">
            <v>Cereza</v>
          </cell>
          <cell r="F201" t="str">
            <v>Pulpa, sin semilla ni cáscara</v>
          </cell>
          <cell r="G201" t="str">
            <v>Maduro</v>
          </cell>
          <cell r="H201" t="str">
            <v>Lavado</v>
          </cell>
          <cell r="I201" t="str">
            <v>Pelado</v>
          </cell>
          <cell r="M201" t="str">
            <v>Prunus</v>
          </cell>
          <cell r="N201" t="str">
            <v>capulli</v>
          </cell>
          <cell r="O201" t="str">
            <v>Cav</v>
          </cell>
          <cell r="P201" t="str">
            <v>232</v>
          </cell>
          <cell r="Q201" t="str">
            <v>No reporta</v>
          </cell>
          <cell r="R201" t="str">
            <v>Cereza</v>
          </cell>
          <cell r="S201">
            <v>74.099999999999994</v>
          </cell>
          <cell r="U201" t="str">
            <v>c</v>
          </cell>
        </row>
        <row r="202">
          <cell r="A202">
            <v>329</v>
          </cell>
          <cell r="B202" t="str">
            <v>Champa</v>
          </cell>
          <cell r="C202" t="str">
            <v>Champa</v>
          </cell>
          <cell r="F202" t="str">
            <v>Pulpa</v>
          </cell>
          <cell r="G202" t="str">
            <v>Maduro</v>
          </cell>
          <cell r="H202" t="str">
            <v>Lavado</v>
          </cell>
          <cell r="I202" t="str">
            <v>Pelado</v>
          </cell>
          <cell r="P202" t="str">
            <v>232</v>
          </cell>
          <cell r="Q202" t="str">
            <v>No reporta</v>
          </cell>
          <cell r="R202" t="str">
            <v>Champa</v>
          </cell>
          <cell r="S202">
            <v>80.5</v>
          </cell>
          <cell r="U202" t="str">
            <v>c</v>
          </cell>
        </row>
        <row r="203">
          <cell r="A203">
            <v>330</v>
          </cell>
          <cell r="B203" t="str">
            <v>Chirimoya</v>
          </cell>
          <cell r="C203" t="str">
            <v>Chirimoya</v>
          </cell>
          <cell r="F203" t="str">
            <v>Pulpa sin semillas</v>
          </cell>
          <cell r="G203" t="str">
            <v>Maduro</v>
          </cell>
          <cell r="H203" t="str">
            <v>Lavado</v>
          </cell>
          <cell r="I203" t="str">
            <v>Pelado</v>
          </cell>
          <cell r="M203" t="str">
            <v>Annona</v>
          </cell>
          <cell r="N203" t="str">
            <v>cherimolia</v>
          </cell>
          <cell r="O203" t="str">
            <v>Miller</v>
          </cell>
          <cell r="P203" t="str">
            <v>232</v>
          </cell>
          <cell r="Q203" t="str">
            <v>No reporta</v>
          </cell>
          <cell r="R203" t="str">
            <v>Chirimoya</v>
          </cell>
          <cell r="S203">
            <v>77.099999999999994</v>
          </cell>
          <cell r="U203" t="str">
            <v>c</v>
          </cell>
        </row>
        <row r="204">
          <cell r="A204">
            <v>331</v>
          </cell>
          <cell r="B204" t="str">
            <v>Chontaduro</v>
          </cell>
          <cell r="C204" t="str">
            <v>Chontaduro</v>
          </cell>
          <cell r="F204" t="str">
            <v>Pulpa</v>
          </cell>
          <cell r="G204" t="str">
            <v>Maduro</v>
          </cell>
          <cell r="H204" t="str">
            <v>Lavado</v>
          </cell>
          <cell r="I204" t="str">
            <v>Pelado</v>
          </cell>
          <cell r="M204" t="str">
            <v>Bactris</v>
          </cell>
          <cell r="N204" t="str">
            <v>gasipaes</v>
          </cell>
          <cell r="P204" t="str">
            <v>131</v>
          </cell>
          <cell r="Q204" t="str">
            <v>Amazonía colombiana</v>
          </cell>
          <cell r="R204" t="str">
            <v>Chontaduro</v>
          </cell>
          <cell r="S204">
            <v>48.2</v>
          </cell>
          <cell r="T204">
            <v>4</v>
          </cell>
          <cell r="U204" t="str">
            <v>a</v>
          </cell>
        </row>
        <row r="205">
          <cell r="A205">
            <v>332</v>
          </cell>
          <cell r="B205" t="str">
            <v>Chontaduro</v>
          </cell>
          <cell r="C205" t="str">
            <v>Chontaduro</v>
          </cell>
          <cell r="F205" t="str">
            <v>Pulpa</v>
          </cell>
          <cell r="H205" t="str">
            <v>Lavado</v>
          </cell>
          <cell r="I205" t="str">
            <v>Pelado</v>
          </cell>
          <cell r="M205" t="str">
            <v>Guilielma</v>
          </cell>
          <cell r="N205" t="str">
            <v>gasipaes</v>
          </cell>
          <cell r="P205" t="str">
            <v>54</v>
          </cell>
          <cell r="Q205" t="str">
            <v>Bolívar</v>
          </cell>
          <cell r="R205" t="str">
            <v>Chontaduro</v>
          </cell>
          <cell r="S205">
            <v>7</v>
          </cell>
          <cell r="U205" t="str">
            <v>b</v>
          </cell>
        </row>
        <row r="206">
          <cell r="A206">
            <v>333</v>
          </cell>
          <cell r="B206" t="str">
            <v>Chontaduro  amazónico</v>
          </cell>
          <cell r="C206" t="str">
            <v>Chontaduro</v>
          </cell>
          <cell r="D206" t="str">
            <v>Amazónico</v>
          </cell>
          <cell r="F206" t="str">
            <v>Pulpa</v>
          </cell>
          <cell r="H206" t="str">
            <v>Lavado</v>
          </cell>
          <cell r="I206" t="str">
            <v>Pelado</v>
          </cell>
          <cell r="M206" t="str">
            <v>Guilielma</v>
          </cell>
          <cell r="N206" t="str">
            <v>gasipaes</v>
          </cell>
          <cell r="P206" t="str">
            <v>230</v>
          </cell>
          <cell r="Q206" t="str">
            <v>Amazónico</v>
          </cell>
          <cell r="R206" t="str">
            <v>Chontaduro  amazónico</v>
          </cell>
          <cell r="S206">
            <v>55.6</v>
          </cell>
          <cell r="T206">
            <v>8.1999999999999993</v>
          </cell>
          <cell r="U206" t="str">
            <v>a</v>
          </cell>
        </row>
        <row r="207">
          <cell r="A207">
            <v>334</v>
          </cell>
          <cell r="B207" t="str">
            <v>Chontaduro, cocido</v>
          </cell>
          <cell r="C207" t="str">
            <v>Chontaduro</v>
          </cell>
          <cell r="F207" t="str">
            <v>Pulpa</v>
          </cell>
          <cell r="H207" t="str">
            <v>Lavado</v>
          </cell>
          <cell r="I207" t="str">
            <v>Cocido</v>
          </cell>
          <cell r="J207" t="str">
            <v>Pelado</v>
          </cell>
          <cell r="M207" t="str">
            <v>Bactris</v>
          </cell>
          <cell r="N207" t="str">
            <v>gasipaes</v>
          </cell>
          <cell r="P207" t="str">
            <v>232, 130, 219</v>
          </cell>
          <cell r="Q207" t="str">
            <v>San José del Guaviare</v>
          </cell>
          <cell r="R207" t="str">
            <v>Chontaduro, cocido</v>
          </cell>
          <cell r="S207">
            <v>52.5</v>
          </cell>
          <cell r="T207">
            <v>0.9</v>
          </cell>
          <cell r="U207" t="str">
            <v>b</v>
          </cell>
        </row>
        <row r="208">
          <cell r="A208">
            <v>335</v>
          </cell>
          <cell r="B208" t="str">
            <v>Chupa</v>
          </cell>
          <cell r="C208" t="str">
            <v>Chupa</v>
          </cell>
          <cell r="F208" t="str">
            <v>Pulpa</v>
          </cell>
          <cell r="G208" t="str">
            <v>Maduro</v>
          </cell>
          <cell r="H208" t="str">
            <v>Lavado</v>
          </cell>
          <cell r="I208" t="str">
            <v>Pelado</v>
          </cell>
          <cell r="M208" t="str">
            <v>Gustavia</v>
          </cell>
          <cell r="N208" t="str">
            <v>spp</v>
          </cell>
          <cell r="P208" t="str">
            <v>232</v>
          </cell>
          <cell r="Q208" t="str">
            <v>No reporta</v>
          </cell>
          <cell r="R208" t="str">
            <v>Chupa</v>
          </cell>
          <cell r="S208">
            <v>53.4</v>
          </cell>
          <cell r="U208" t="str">
            <v>c</v>
          </cell>
        </row>
        <row r="209">
          <cell r="A209">
            <v>336</v>
          </cell>
          <cell r="B209" t="str">
            <v>Cidra</v>
          </cell>
          <cell r="C209" t="str">
            <v>Cidra</v>
          </cell>
          <cell r="F209" t="str">
            <v>Pulpa</v>
          </cell>
          <cell r="H209" t="str">
            <v>Lavado</v>
          </cell>
          <cell r="I209" t="str">
            <v>Extracción de pulpa</v>
          </cell>
          <cell r="M209" t="str">
            <v>Citrus</v>
          </cell>
          <cell r="N209" t="str">
            <v>medica L,</v>
          </cell>
          <cell r="P209" t="str">
            <v>232</v>
          </cell>
          <cell r="Q209" t="str">
            <v>No reporta</v>
          </cell>
          <cell r="R209" t="str">
            <v>Cidra</v>
          </cell>
          <cell r="S209">
            <v>88</v>
          </cell>
          <cell r="U209" t="str">
            <v>c</v>
          </cell>
        </row>
        <row r="210">
          <cell r="A210">
            <v>337</v>
          </cell>
          <cell r="B210" t="str">
            <v>Ciruela calentana</v>
          </cell>
          <cell r="C210" t="str">
            <v>Ciruela</v>
          </cell>
          <cell r="D210" t="str">
            <v>Calentana</v>
          </cell>
          <cell r="F210" t="str">
            <v>Pulpa</v>
          </cell>
          <cell r="G210" t="str">
            <v>Maduro</v>
          </cell>
          <cell r="H210" t="str">
            <v>Lavado</v>
          </cell>
          <cell r="I210" t="str">
            <v>Extracción de pulpa</v>
          </cell>
          <cell r="M210" t="str">
            <v>Spondias</v>
          </cell>
          <cell r="N210" t="str">
            <v>purpurea L,</v>
          </cell>
          <cell r="P210" t="str">
            <v>232</v>
          </cell>
          <cell r="Q210" t="str">
            <v>No reporta</v>
          </cell>
          <cell r="R210" t="str">
            <v>Ciruela calentana</v>
          </cell>
          <cell r="S210">
            <v>76.2</v>
          </cell>
          <cell r="U210" t="str">
            <v>d</v>
          </cell>
        </row>
        <row r="211">
          <cell r="A211">
            <v>338</v>
          </cell>
          <cell r="B211" t="str">
            <v>Ciruela de tierra fría</v>
          </cell>
          <cell r="C211" t="str">
            <v>Ciruela</v>
          </cell>
          <cell r="D211" t="str">
            <v>De tierra fría</v>
          </cell>
          <cell r="F211" t="str">
            <v>Fruta sin semillas</v>
          </cell>
          <cell r="G211" t="str">
            <v>Maduro</v>
          </cell>
          <cell r="H211" t="str">
            <v>Lavado</v>
          </cell>
          <cell r="I211" t="str">
            <v>Extracción de pulpa</v>
          </cell>
          <cell r="M211" t="str">
            <v>Prunus</v>
          </cell>
          <cell r="N211" t="str">
            <v>domestica L,</v>
          </cell>
          <cell r="P211" t="str">
            <v>232</v>
          </cell>
          <cell r="Q211" t="str">
            <v>No reporta</v>
          </cell>
          <cell r="R211" t="str">
            <v>Ciruela de tierra fría</v>
          </cell>
          <cell r="S211">
            <v>87.8</v>
          </cell>
          <cell r="U211" t="str">
            <v>c</v>
          </cell>
        </row>
        <row r="212">
          <cell r="A212">
            <v>339</v>
          </cell>
          <cell r="B212" t="str">
            <v>Ciruela madura</v>
          </cell>
          <cell r="C212" t="str">
            <v>Ciruela</v>
          </cell>
          <cell r="F212" t="str">
            <v>Pulpa</v>
          </cell>
          <cell r="G212" t="str">
            <v>Madura</v>
          </cell>
          <cell r="H212" t="str">
            <v>Lavado</v>
          </cell>
          <cell r="I212" t="str">
            <v>Extracción de pulpa</v>
          </cell>
          <cell r="M212" t="str">
            <v>Spondia</v>
          </cell>
          <cell r="N212" t="str">
            <v>mombin</v>
          </cell>
          <cell r="P212" t="str">
            <v>257</v>
          </cell>
          <cell r="Q212" t="str">
            <v>Antioquia</v>
          </cell>
          <cell r="R212" t="str">
            <v>Ciruela madura</v>
          </cell>
          <cell r="S212">
            <v>79.7</v>
          </cell>
          <cell r="T212">
            <v>1.4</v>
          </cell>
          <cell r="U212" t="str">
            <v>b</v>
          </cell>
        </row>
        <row r="213">
          <cell r="A213">
            <v>342</v>
          </cell>
          <cell r="B213" t="str">
            <v>Coco</v>
          </cell>
          <cell r="C213" t="str">
            <v>Coco</v>
          </cell>
          <cell r="F213" t="str">
            <v>Pulpa</v>
          </cell>
          <cell r="G213" t="str">
            <v>Madura</v>
          </cell>
          <cell r="H213" t="str">
            <v>Pelado</v>
          </cell>
          <cell r="M213" t="str">
            <v>Cocus</v>
          </cell>
          <cell r="N213" t="str">
            <v>nucifera L,</v>
          </cell>
          <cell r="P213" t="str">
            <v>232</v>
          </cell>
          <cell r="Q213" t="str">
            <v>No reporta</v>
          </cell>
          <cell r="R213" t="str">
            <v>Coco</v>
          </cell>
          <cell r="S213">
            <v>53.9</v>
          </cell>
          <cell r="U213" t="str">
            <v>c</v>
          </cell>
        </row>
        <row r="214">
          <cell r="A214">
            <v>354</v>
          </cell>
          <cell r="B214" t="str">
            <v>Copoazú</v>
          </cell>
          <cell r="C214" t="str">
            <v>Copoazú</v>
          </cell>
          <cell r="F214" t="str">
            <v>Pulpa</v>
          </cell>
          <cell r="H214" t="str">
            <v>Lavado</v>
          </cell>
          <cell r="I214" t="str">
            <v>Extracción de pulpa</v>
          </cell>
          <cell r="M214" t="str">
            <v>Theobroma</v>
          </cell>
          <cell r="N214" t="str">
            <v>grandiflorum</v>
          </cell>
          <cell r="P214" t="str">
            <v>218, 230</v>
          </cell>
          <cell r="Q214" t="str">
            <v>Cauca</v>
          </cell>
          <cell r="R214" t="str">
            <v>Copoazú</v>
          </cell>
          <cell r="S214">
            <v>86.7</v>
          </cell>
          <cell r="T214">
            <v>1.9</v>
          </cell>
          <cell r="U214" t="str">
            <v>a</v>
          </cell>
        </row>
        <row r="215">
          <cell r="A215">
            <v>355</v>
          </cell>
          <cell r="B215" t="str">
            <v>Curuba</v>
          </cell>
          <cell r="C215" t="str">
            <v>Curuba</v>
          </cell>
          <cell r="F215" t="str">
            <v>Pulpa</v>
          </cell>
          <cell r="G215" t="str">
            <v>Madura</v>
          </cell>
          <cell r="H215" t="str">
            <v>Pelado</v>
          </cell>
          <cell r="I215" t="str">
            <v>Extracción de pulpa</v>
          </cell>
          <cell r="M215" t="str">
            <v>Passiflora</v>
          </cell>
          <cell r="N215" t="str">
            <v>mollisima</v>
          </cell>
          <cell r="P215" t="str">
            <v>232, 142</v>
          </cell>
          <cell r="Q215" t="str">
            <v>Cundinamarca</v>
          </cell>
          <cell r="R215" t="str">
            <v>Curuba</v>
          </cell>
          <cell r="S215">
            <v>90.8</v>
          </cell>
          <cell r="T215">
            <v>1.7</v>
          </cell>
          <cell r="U215" t="str">
            <v>b</v>
          </cell>
        </row>
        <row r="216">
          <cell r="A216">
            <v>356</v>
          </cell>
          <cell r="B216" t="str">
            <v>Dátil</v>
          </cell>
          <cell r="C216" t="str">
            <v>Dátil</v>
          </cell>
          <cell r="F216" t="str">
            <v>Fruta entera</v>
          </cell>
          <cell r="G216" t="str">
            <v>Maduro</v>
          </cell>
          <cell r="H216" t="str">
            <v>Lavado</v>
          </cell>
          <cell r="I216" t="str">
            <v>Extracción de pulpa</v>
          </cell>
          <cell r="M216" t="str">
            <v>Phoenix</v>
          </cell>
          <cell r="N216" t="str">
            <v>dactylifera L,</v>
          </cell>
          <cell r="P216" t="str">
            <v>232</v>
          </cell>
          <cell r="Q216" t="str">
            <v>No reporta</v>
          </cell>
          <cell r="R216" t="str">
            <v>Dátil</v>
          </cell>
          <cell r="S216">
            <v>21.3</v>
          </cell>
          <cell r="U216" t="str">
            <v>d</v>
          </cell>
        </row>
        <row r="217">
          <cell r="A217">
            <v>357</v>
          </cell>
          <cell r="B217" t="str">
            <v>Durazno amarillo</v>
          </cell>
          <cell r="C217" t="str">
            <v>Durazno</v>
          </cell>
          <cell r="D217" t="str">
            <v>Amarillo</v>
          </cell>
          <cell r="F217" t="str">
            <v>Pulpa</v>
          </cell>
          <cell r="G217" t="str">
            <v>Maduro</v>
          </cell>
          <cell r="H217" t="str">
            <v>Lavado</v>
          </cell>
          <cell r="I217" t="str">
            <v>Extracción de pulpa</v>
          </cell>
          <cell r="M217" t="str">
            <v>Prunus</v>
          </cell>
          <cell r="N217" t="str">
            <v>persica L,</v>
          </cell>
          <cell r="P217" t="str">
            <v>232</v>
          </cell>
          <cell r="Q217" t="str">
            <v>No reporta</v>
          </cell>
          <cell r="R217" t="str">
            <v>Durazno amarillo</v>
          </cell>
          <cell r="S217">
            <v>85</v>
          </cell>
          <cell r="U217" t="str">
            <v>c</v>
          </cell>
        </row>
        <row r="218">
          <cell r="A218">
            <v>358</v>
          </cell>
          <cell r="B218" t="str">
            <v>Durazno blanco</v>
          </cell>
          <cell r="C218" t="str">
            <v>Durazno</v>
          </cell>
          <cell r="D218" t="str">
            <v>Blanco</v>
          </cell>
          <cell r="F218" t="str">
            <v>Pulpa</v>
          </cell>
          <cell r="G218" t="str">
            <v>Maduro</v>
          </cell>
          <cell r="H218" t="str">
            <v>Lavado</v>
          </cell>
          <cell r="I218" t="str">
            <v>Extracción de pulpa</v>
          </cell>
          <cell r="M218" t="str">
            <v>Prunus</v>
          </cell>
          <cell r="N218" t="str">
            <v>persica L,</v>
          </cell>
          <cell r="P218" t="str">
            <v>232</v>
          </cell>
          <cell r="Q218" t="str">
            <v>No reporta</v>
          </cell>
          <cell r="R218" t="str">
            <v>Durazno blanco</v>
          </cell>
          <cell r="S218">
            <v>86.4</v>
          </cell>
          <cell r="U218" t="str">
            <v>c</v>
          </cell>
        </row>
        <row r="219">
          <cell r="A219">
            <v>359</v>
          </cell>
          <cell r="B219" t="str">
            <v>Feijoa</v>
          </cell>
          <cell r="C219" t="str">
            <v>Feijoa</v>
          </cell>
          <cell r="F219" t="str">
            <v>Fruta entera</v>
          </cell>
          <cell r="G219" t="str">
            <v>Madura</v>
          </cell>
          <cell r="H219" t="str">
            <v>Lavado</v>
          </cell>
          <cell r="M219" t="str">
            <v>Feijoa</v>
          </cell>
          <cell r="N219" t="str">
            <v>sellowiana</v>
          </cell>
          <cell r="P219" t="str">
            <v>232, 241, 223, 103</v>
          </cell>
          <cell r="Q219" t="str">
            <v>Boyacá</v>
          </cell>
          <cell r="R219" t="str">
            <v>Feijoa</v>
          </cell>
          <cell r="S219">
            <v>82.9</v>
          </cell>
          <cell r="T219">
            <v>0.8</v>
          </cell>
          <cell r="U219" t="str">
            <v>c</v>
          </cell>
        </row>
        <row r="220">
          <cell r="A220">
            <v>360</v>
          </cell>
          <cell r="B220" t="str">
            <v>Fresa</v>
          </cell>
          <cell r="C220" t="str">
            <v>Fresa</v>
          </cell>
          <cell r="F220" t="str">
            <v>Fruta entera</v>
          </cell>
          <cell r="G220" t="str">
            <v>Madura</v>
          </cell>
          <cell r="H220" t="str">
            <v>Lavado</v>
          </cell>
          <cell r="L220" t="str">
            <v>Frutilla</v>
          </cell>
          <cell r="M220" t="str">
            <v>Fragaria</v>
          </cell>
          <cell r="N220" t="str">
            <v>chiloensis/ssp</v>
          </cell>
          <cell r="P220" t="str">
            <v>232</v>
          </cell>
          <cell r="Q220" t="str">
            <v>No reporta</v>
          </cell>
          <cell r="R220" t="str">
            <v>Fresa</v>
          </cell>
          <cell r="S220">
            <v>89.9</v>
          </cell>
          <cell r="U220" t="str">
            <v>c</v>
          </cell>
        </row>
        <row r="221">
          <cell r="A221">
            <v>364</v>
          </cell>
          <cell r="B221" t="str">
            <v>Granadilla, jugo</v>
          </cell>
          <cell r="C221" t="str">
            <v>Granadilla</v>
          </cell>
          <cell r="D221" t="str">
            <v>Granadilla</v>
          </cell>
          <cell r="F221" t="str">
            <v>Jugo sin semillas</v>
          </cell>
          <cell r="G221" t="str">
            <v>Maduro</v>
          </cell>
          <cell r="H221" t="str">
            <v>Lavado</v>
          </cell>
          <cell r="I221" t="str">
            <v>Extracción de pulpa</v>
          </cell>
          <cell r="J221" t="str">
            <v>Licuado</v>
          </cell>
          <cell r="L221" t="str">
            <v>Pasionaria, granadita</v>
          </cell>
          <cell r="M221" t="str">
            <v>Passiflora</v>
          </cell>
          <cell r="N221" t="str">
            <v>ligularis</v>
          </cell>
          <cell r="P221" t="str">
            <v>232</v>
          </cell>
          <cell r="Q221" t="str">
            <v>No reporta</v>
          </cell>
          <cell r="R221" t="str">
            <v>Granadilla, jugo</v>
          </cell>
          <cell r="S221">
            <v>84.4</v>
          </cell>
          <cell r="U221" t="str">
            <v>c</v>
          </cell>
        </row>
        <row r="222">
          <cell r="A222">
            <v>365</v>
          </cell>
          <cell r="B222" t="str">
            <v>Guama</v>
          </cell>
          <cell r="C222" t="str">
            <v>Guamo</v>
          </cell>
          <cell r="F222" t="str">
            <v>Pulpa</v>
          </cell>
          <cell r="G222" t="str">
            <v>Madura</v>
          </cell>
          <cell r="H222" t="str">
            <v>Lavado</v>
          </cell>
          <cell r="I222" t="str">
            <v>Extracción de pulpa</v>
          </cell>
          <cell r="M222" t="str">
            <v>Inga</v>
          </cell>
          <cell r="N222" t="str">
            <v>spp</v>
          </cell>
          <cell r="P222" t="str">
            <v>232</v>
          </cell>
          <cell r="Q222" t="str">
            <v>No reporta</v>
          </cell>
          <cell r="R222" t="str">
            <v>Guama</v>
          </cell>
          <cell r="S222">
            <v>85.6</v>
          </cell>
          <cell r="U222" t="str">
            <v>c</v>
          </cell>
        </row>
        <row r="223">
          <cell r="A223">
            <v>366</v>
          </cell>
          <cell r="B223" t="str">
            <v>Guanábana</v>
          </cell>
          <cell r="C223" t="str">
            <v>Guanábana</v>
          </cell>
          <cell r="F223" t="str">
            <v>Pulpa</v>
          </cell>
          <cell r="G223" t="str">
            <v>Madura</v>
          </cell>
          <cell r="H223" t="str">
            <v>Lavado</v>
          </cell>
          <cell r="I223" t="str">
            <v>Extracción de pulpa</v>
          </cell>
          <cell r="M223" t="str">
            <v>Annona</v>
          </cell>
          <cell r="N223" t="str">
            <v>muricata</v>
          </cell>
          <cell r="P223" t="str">
            <v>232, Industria, 29</v>
          </cell>
          <cell r="Q223" t="str">
            <v>Valle</v>
          </cell>
          <cell r="R223" t="str">
            <v>Guanábana</v>
          </cell>
          <cell r="S223">
            <v>86</v>
          </cell>
          <cell r="U223" t="str">
            <v>c</v>
          </cell>
        </row>
        <row r="224">
          <cell r="A224">
            <v>368</v>
          </cell>
          <cell r="B224" t="str">
            <v>Guayaba blanca madura</v>
          </cell>
          <cell r="C224" t="str">
            <v>Guayaba</v>
          </cell>
          <cell r="D224" t="str">
            <v>Blanca</v>
          </cell>
          <cell r="F224" t="str">
            <v>Pulpa</v>
          </cell>
          <cell r="G224" t="str">
            <v>Madura</v>
          </cell>
          <cell r="H224" t="str">
            <v>Lavado</v>
          </cell>
          <cell r="I224" t="str">
            <v>Pelado</v>
          </cell>
          <cell r="J224" t="str">
            <v>Extracción de pulpa</v>
          </cell>
          <cell r="M224" t="str">
            <v>Psidium</v>
          </cell>
          <cell r="N224" t="str">
            <v>guajava</v>
          </cell>
          <cell r="O224" t="str">
            <v>Blanca</v>
          </cell>
          <cell r="P224" t="str">
            <v>232, 135</v>
          </cell>
          <cell r="Q224" t="str">
            <v>Muestra comercial</v>
          </cell>
          <cell r="R224" t="str">
            <v>Guayaba blanca madura</v>
          </cell>
          <cell r="S224">
            <v>85.7</v>
          </cell>
          <cell r="T224">
            <v>0.5</v>
          </cell>
          <cell r="U224" t="str">
            <v>c</v>
          </cell>
        </row>
        <row r="225">
          <cell r="A225">
            <v>369</v>
          </cell>
          <cell r="B225" t="str">
            <v>Guayaba madura</v>
          </cell>
          <cell r="C225" t="str">
            <v>Guayaba</v>
          </cell>
          <cell r="F225" t="str">
            <v>Pulpa</v>
          </cell>
          <cell r="G225" t="str">
            <v>Madura</v>
          </cell>
          <cell r="H225" t="str">
            <v>Lavado</v>
          </cell>
          <cell r="I225" t="str">
            <v>Pelado</v>
          </cell>
          <cell r="J225" t="str">
            <v>Extracción de pulpa</v>
          </cell>
          <cell r="M225" t="str">
            <v>Psidium</v>
          </cell>
          <cell r="N225" t="str">
            <v>guajava</v>
          </cell>
          <cell r="P225" t="str">
            <v>97, 99, 139,</v>
          </cell>
          <cell r="Q225" t="str">
            <v>No reporta</v>
          </cell>
          <cell r="R225" t="str">
            <v>Guayaba madura</v>
          </cell>
          <cell r="S225">
            <v>81.3</v>
          </cell>
          <cell r="T225">
            <v>6.2</v>
          </cell>
          <cell r="U225" t="str">
            <v>c</v>
          </cell>
        </row>
        <row r="226">
          <cell r="A226">
            <v>370</v>
          </cell>
          <cell r="B226" t="str">
            <v>Guayaba madura</v>
          </cell>
          <cell r="C226" t="str">
            <v>Guayaba</v>
          </cell>
          <cell r="F226" t="str">
            <v>Pulpa</v>
          </cell>
          <cell r="G226" t="str">
            <v>Madura</v>
          </cell>
          <cell r="H226" t="str">
            <v>Lavado</v>
          </cell>
          <cell r="I226" t="str">
            <v>Pelado</v>
          </cell>
          <cell r="J226" t="str">
            <v>Extracción de pulpa</v>
          </cell>
          <cell r="M226" t="str">
            <v>Psidium</v>
          </cell>
          <cell r="N226" t="str">
            <v>friedichsthalianum</v>
          </cell>
          <cell r="P226" t="str">
            <v>159</v>
          </cell>
          <cell r="Q226" t="str">
            <v>No reporta</v>
          </cell>
          <cell r="R226" t="str">
            <v>Guayaba madura</v>
          </cell>
          <cell r="S226">
            <v>83.9</v>
          </cell>
          <cell r="T226">
            <v>4.0999999999999996</v>
          </cell>
          <cell r="U226" t="str">
            <v>b</v>
          </cell>
        </row>
        <row r="227">
          <cell r="A227">
            <v>371</v>
          </cell>
          <cell r="B227" t="str">
            <v>Guayaba pintona</v>
          </cell>
          <cell r="C227" t="str">
            <v>Guayaba</v>
          </cell>
          <cell r="F227" t="str">
            <v>Pulpa</v>
          </cell>
          <cell r="G227" t="str">
            <v>Pintona</v>
          </cell>
          <cell r="H227" t="str">
            <v>Lavado</v>
          </cell>
          <cell r="I227" t="str">
            <v>Pelado</v>
          </cell>
          <cell r="J227" t="str">
            <v>Extracción de pulpa</v>
          </cell>
          <cell r="M227" t="str">
            <v>Psidium</v>
          </cell>
          <cell r="N227" t="str">
            <v>guajava</v>
          </cell>
          <cell r="P227" t="str">
            <v>17</v>
          </cell>
          <cell r="Q227" t="str">
            <v>Muestra comercial</v>
          </cell>
          <cell r="R227" t="str">
            <v>Guayaba pintona</v>
          </cell>
          <cell r="S227">
            <v>82.8</v>
          </cell>
          <cell r="T227">
            <v>0</v>
          </cell>
          <cell r="U227" t="str">
            <v>a</v>
          </cell>
        </row>
        <row r="228">
          <cell r="A228">
            <v>376</v>
          </cell>
          <cell r="B228" t="str">
            <v>Guayaba rosada madura</v>
          </cell>
          <cell r="C228" t="str">
            <v>Guayaba</v>
          </cell>
          <cell r="D228" t="str">
            <v>Rosada</v>
          </cell>
          <cell r="F228" t="str">
            <v>Pulpa</v>
          </cell>
          <cell r="G228" t="str">
            <v>Madura</v>
          </cell>
          <cell r="H228" t="str">
            <v>Lavado</v>
          </cell>
          <cell r="I228" t="str">
            <v>Pelado</v>
          </cell>
          <cell r="J228" t="str">
            <v>Extracción de pulpa</v>
          </cell>
          <cell r="M228" t="str">
            <v>Psidium</v>
          </cell>
          <cell r="N228" t="str">
            <v>guajava</v>
          </cell>
          <cell r="P228" t="str">
            <v>232, 135</v>
          </cell>
          <cell r="Q228" t="str">
            <v>Muestra comercial</v>
          </cell>
          <cell r="R228" t="str">
            <v>Guayaba rosada madura</v>
          </cell>
          <cell r="S228">
            <v>85.4</v>
          </cell>
          <cell r="T228">
            <v>0.8</v>
          </cell>
          <cell r="U228" t="str">
            <v>b</v>
          </cell>
        </row>
        <row r="229">
          <cell r="A229">
            <v>378</v>
          </cell>
          <cell r="B229" t="str">
            <v>Gulupa madura</v>
          </cell>
          <cell r="C229" t="str">
            <v>Gulupa</v>
          </cell>
          <cell r="F229" t="str">
            <v>Pulpa con semillas</v>
          </cell>
          <cell r="G229" t="str">
            <v>Madura</v>
          </cell>
          <cell r="H229" t="str">
            <v>Lavado</v>
          </cell>
          <cell r="I229" t="str">
            <v>Extracción de pulpa</v>
          </cell>
          <cell r="M229" t="str">
            <v>Passiflora</v>
          </cell>
          <cell r="N229" t="str">
            <v>maliformis</v>
          </cell>
          <cell r="P229" t="str">
            <v>89</v>
          </cell>
          <cell r="Q229" t="str">
            <v>Cundinamarca</v>
          </cell>
          <cell r="R229" t="str">
            <v>Gulupa madura</v>
          </cell>
          <cell r="S229">
            <v>17.5</v>
          </cell>
          <cell r="T229">
            <v>1.9</v>
          </cell>
          <cell r="U229" t="str">
            <v>b</v>
          </cell>
        </row>
        <row r="230">
          <cell r="A230">
            <v>379</v>
          </cell>
          <cell r="B230" t="str">
            <v>Higo</v>
          </cell>
          <cell r="C230" t="str">
            <v>Higo</v>
          </cell>
          <cell r="F230" t="str">
            <v>Pulpa</v>
          </cell>
          <cell r="H230" t="str">
            <v>Lavado</v>
          </cell>
          <cell r="M230" t="str">
            <v>Opuntia/Ficus</v>
          </cell>
          <cell r="N230" t="str">
            <v>ficus indica L</v>
          </cell>
          <cell r="O230" t="str">
            <v>Miller</v>
          </cell>
          <cell r="P230" t="str">
            <v>232</v>
          </cell>
          <cell r="Q230" t="str">
            <v>No reporta</v>
          </cell>
          <cell r="R230" t="str">
            <v>Higo</v>
          </cell>
          <cell r="S230">
            <v>90.3</v>
          </cell>
          <cell r="U230" t="str">
            <v>c</v>
          </cell>
        </row>
        <row r="231">
          <cell r="A231">
            <v>380</v>
          </cell>
          <cell r="B231" t="str">
            <v>Icaco</v>
          </cell>
          <cell r="C231" t="str">
            <v>Icaco</v>
          </cell>
          <cell r="F231" t="str">
            <v>Pulpa</v>
          </cell>
          <cell r="G231" t="str">
            <v>Maduro</v>
          </cell>
          <cell r="H231" t="str">
            <v>Lavado</v>
          </cell>
          <cell r="I231" t="str">
            <v>Extracción de pulpa</v>
          </cell>
          <cell r="M231" t="str">
            <v>Chysobalanus</v>
          </cell>
          <cell r="N231" t="str">
            <v>icaco L,</v>
          </cell>
          <cell r="P231" t="str">
            <v>232</v>
          </cell>
          <cell r="Q231" t="str">
            <v>No reporta</v>
          </cell>
          <cell r="R231" t="str">
            <v>Icaco</v>
          </cell>
          <cell r="S231">
            <v>84.8</v>
          </cell>
          <cell r="U231" t="str">
            <v>c</v>
          </cell>
        </row>
        <row r="232">
          <cell r="A232">
            <v>383</v>
          </cell>
          <cell r="B232" t="str">
            <v>Jugo de badea</v>
          </cell>
          <cell r="C232" t="str">
            <v>Jugo</v>
          </cell>
          <cell r="D232" t="str">
            <v>Badea</v>
          </cell>
          <cell r="F232" t="str">
            <v>Jugo sin semillas</v>
          </cell>
          <cell r="G232" t="str">
            <v>Maduro</v>
          </cell>
          <cell r="H232" t="str">
            <v>Pelado</v>
          </cell>
          <cell r="I232" t="str">
            <v>Licuado</v>
          </cell>
          <cell r="L232" t="str">
            <v>Parcha real</v>
          </cell>
          <cell r="M232" t="str">
            <v>Passiflora</v>
          </cell>
          <cell r="N232" t="str">
            <v>quadrangularis L,</v>
          </cell>
          <cell r="P232" t="str">
            <v>232</v>
          </cell>
          <cell r="R232" t="str">
            <v>Jugo de badea</v>
          </cell>
          <cell r="S232">
            <v>87.9</v>
          </cell>
          <cell r="U232" t="str">
            <v>c</v>
          </cell>
        </row>
        <row r="233">
          <cell r="A233">
            <v>389</v>
          </cell>
          <cell r="B233" t="str">
            <v>Jugo de tomate</v>
          </cell>
          <cell r="C233" t="str">
            <v>Jugo</v>
          </cell>
          <cell r="D233" t="str">
            <v>Tomate</v>
          </cell>
          <cell r="F233" t="str">
            <v>Pulpa</v>
          </cell>
          <cell r="H233" t="str">
            <v>Pelado y mezclado</v>
          </cell>
          <cell r="I233" t="str">
            <v>Licuado</v>
          </cell>
          <cell r="J233" t="str">
            <v>Pasteurizado</v>
          </cell>
          <cell r="M233" t="str">
            <v>Lycopersicum</v>
          </cell>
          <cell r="N233" t="str">
            <v>esculentum</v>
          </cell>
          <cell r="Q233" t="str">
            <v>Muestra comercial</v>
          </cell>
          <cell r="R233" t="str">
            <v>Jugo de tomate</v>
          </cell>
          <cell r="S233">
            <v>94.4</v>
          </cell>
          <cell r="U233" t="str">
            <v>b</v>
          </cell>
        </row>
        <row r="234">
          <cell r="A234">
            <v>391</v>
          </cell>
          <cell r="B234" t="str">
            <v>Kiwi</v>
          </cell>
          <cell r="C234" t="str">
            <v>Kiwi</v>
          </cell>
          <cell r="F234" t="str">
            <v>Pulpa</v>
          </cell>
          <cell r="G234" t="str">
            <v>Maduro</v>
          </cell>
          <cell r="H234" t="str">
            <v>Lavado</v>
          </cell>
          <cell r="I234" t="str">
            <v>Pelado</v>
          </cell>
          <cell r="M234" t="str">
            <v>Actinidia</v>
          </cell>
          <cell r="N234" t="str">
            <v>chinensis</v>
          </cell>
          <cell r="P234" t="str">
            <v>234, 235</v>
          </cell>
          <cell r="R234" t="str">
            <v>Kiwi</v>
          </cell>
          <cell r="S234">
            <v>83</v>
          </cell>
          <cell r="U234" t="str">
            <v>d</v>
          </cell>
        </row>
        <row r="235">
          <cell r="A235">
            <v>392</v>
          </cell>
          <cell r="B235" t="str">
            <v>Lima</v>
          </cell>
          <cell r="C235" t="str">
            <v>Lima</v>
          </cell>
          <cell r="F235" t="str">
            <v>Pulpa</v>
          </cell>
          <cell r="G235" t="str">
            <v>Maduro</v>
          </cell>
          <cell r="H235" t="str">
            <v>Lavado</v>
          </cell>
          <cell r="I235" t="str">
            <v>Pelado</v>
          </cell>
          <cell r="J235" t="str">
            <v>Extracción de pulpa</v>
          </cell>
          <cell r="M235" t="str">
            <v>Citrus</v>
          </cell>
          <cell r="N235" t="str">
            <v>aurantifolia</v>
          </cell>
          <cell r="O235" t="str">
            <v>Swingle</v>
          </cell>
          <cell r="P235" t="str">
            <v>232</v>
          </cell>
          <cell r="Q235" t="str">
            <v>No reporta</v>
          </cell>
          <cell r="R235" t="str">
            <v>Lima</v>
          </cell>
          <cell r="S235">
            <v>92.4</v>
          </cell>
          <cell r="U235" t="str">
            <v>c</v>
          </cell>
        </row>
        <row r="236">
          <cell r="A236">
            <v>393</v>
          </cell>
          <cell r="B236" t="str">
            <v>Limón</v>
          </cell>
          <cell r="C236" t="str">
            <v>Limón</v>
          </cell>
          <cell r="F236" t="str">
            <v>Pulpa</v>
          </cell>
          <cell r="H236" t="str">
            <v>Lavado</v>
          </cell>
          <cell r="I236" t="str">
            <v>Pelado</v>
          </cell>
          <cell r="J236" t="str">
            <v>Extracción de  zumo</v>
          </cell>
          <cell r="M236" t="str">
            <v>Citrus</v>
          </cell>
          <cell r="N236" t="str">
            <v>aurantifolia</v>
          </cell>
          <cell r="P236" t="str">
            <v>232, 144, 71</v>
          </cell>
          <cell r="Q236" t="str">
            <v>No reporta</v>
          </cell>
          <cell r="R236" t="str">
            <v>Limón</v>
          </cell>
          <cell r="S236">
            <v>89.7</v>
          </cell>
          <cell r="T236">
            <v>3</v>
          </cell>
          <cell r="U236" t="str">
            <v>b</v>
          </cell>
        </row>
        <row r="237">
          <cell r="A237">
            <v>394</v>
          </cell>
          <cell r="B237" t="str">
            <v>Lulo maduro</v>
          </cell>
          <cell r="C237" t="str">
            <v>Lulo</v>
          </cell>
          <cell r="F237" t="str">
            <v>Pulpa</v>
          </cell>
          <cell r="G237" t="str">
            <v>Madura</v>
          </cell>
          <cell r="H237" t="str">
            <v>Lavado</v>
          </cell>
          <cell r="I237" t="str">
            <v>Pelado</v>
          </cell>
          <cell r="J237" t="str">
            <v>Extracción de pulpa</v>
          </cell>
          <cell r="M237" t="str">
            <v>Solanum</v>
          </cell>
          <cell r="N237" t="str">
            <v>quitoense</v>
          </cell>
          <cell r="P237" t="str">
            <v>232, 173, 71, 142</v>
          </cell>
          <cell r="Q237" t="str">
            <v>Risaralda</v>
          </cell>
          <cell r="R237" t="str">
            <v>Lulo maduro</v>
          </cell>
          <cell r="S237">
            <v>90.1</v>
          </cell>
          <cell r="T237">
            <v>2.7</v>
          </cell>
          <cell r="U237" t="str">
            <v>a</v>
          </cell>
        </row>
        <row r="238">
          <cell r="A238">
            <v>395</v>
          </cell>
          <cell r="B238" t="str">
            <v>Madroño</v>
          </cell>
          <cell r="C238" t="str">
            <v>Madroño</v>
          </cell>
          <cell r="F238" t="str">
            <v>Pulpa</v>
          </cell>
          <cell r="G238" t="str">
            <v>Maduro</v>
          </cell>
          <cell r="H238" t="str">
            <v>Lavado</v>
          </cell>
          <cell r="I238" t="str">
            <v>Extracción de pulpa</v>
          </cell>
          <cell r="L238" t="str">
            <v>Machacari</v>
          </cell>
          <cell r="M238" t="str">
            <v>Rheedia</v>
          </cell>
          <cell r="N238" t="str">
            <v>madrunno</v>
          </cell>
          <cell r="P238" t="str">
            <v>232</v>
          </cell>
          <cell r="Q238" t="str">
            <v>No reporta</v>
          </cell>
          <cell r="R238" t="str">
            <v>Madroño</v>
          </cell>
          <cell r="S238">
            <v>88.3</v>
          </cell>
          <cell r="U238" t="str">
            <v>c</v>
          </cell>
        </row>
        <row r="239">
          <cell r="A239">
            <v>396</v>
          </cell>
          <cell r="B239" t="str">
            <v>Mamey</v>
          </cell>
          <cell r="C239" t="str">
            <v>Mamey</v>
          </cell>
          <cell r="F239" t="str">
            <v>Pulpa</v>
          </cell>
          <cell r="G239" t="str">
            <v>Maduro</v>
          </cell>
          <cell r="H239" t="str">
            <v>Lavado</v>
          </cell>
          <cell r="I239" t="str">
            <v>Extracción de pulpa</v>
          </cell>
          <cell r="M239" t="str">
            <v>Mammea</v>
          </cell>
          <cell r="N239" t="str">
            <v>americana (L,)</v>
          </cell>
          <cell r="P239" t="str">
            <v>232</v>
          </cell>
          <cell r="Q239" t="str">
            <v>No reporta</v>
          </cell>
          <cell r="R239" t="str">
            <v>Mamey</v>
          </cell>
          <cell r="S239">
            <v>85.8</v>
          </cell>
          <cell r="U239" t="str">
            <v>c</v>
          </cell>
        </row>
        <row r="240">
          <cell r="A240">
            <v>397</v>
          </cell>
          <cell r="B240" t="str">
            <v>Mamoncillo</v>
          </cell>
          <cell r="C240" t="str">
            <v>Mamoncillo</v>
          </cell>
          <cell r="F240" t="str">
            <v>Pulpa</v>
          </cell>
          <cell r="G240" t="str">
            <v>Maduro</v>
          </cell>
          <cell r="H240" t="str">
            <v>Lavado</v>
          </cell>
          <cell r="I240" t="str">
            <v>Pelado</v>
          </cell>
          <cell r="J240" t="str">
            <v>Extracción de pulpa</v>
          </cell>
          <cell r="M240" t="str">
            <v>Melicocca</v>
          </cell>
          <cell r="N240" t="str">
            <v>bijua L,</v>
          </cell>
          <cell r="P240" t="str">
            <v>232</v>
          </cell>
          <cell r="Q240" t="str">
            <v>No reporta</v>
          </cell>
          <cell r="R240" t="str">
            <v>Mamoncillo</v>
          </cell>
          <cell r="S240">
            <v>77.400000000000006</v>
          </cell>
          <cell r="U240" t="str">
            <v>c</v>
          </cell>
        </row>
        <row r="241">
          <cell r="A241">
            <v>399</v>
          </cell>
          <cell r="B241" t="str">
            <v>Mandarina</v>
          </cell>
          <cell r="C241" t="str">
            <v>Mandarina</v>
          </cell>
          <cell r="F241" t="str">
            <v>Pulpa</v>
          </cell>
          <cell r="G241" t="str">
            <v>Madura</v>
          </cell>
          <cell r="H241" t="str">
            <v>Lavado</v>
          </cell>
          <cell r="I241" t="str">
            <v>Extracción de pulpa</v>
          </cell>
          <cell r="M241" t="str">
            <v>Citrus</v>
          </cell>
          <cell r="N241" t="str">
            <v>reticulata</v>
          </cell>
          <cell r="P241" t="str">
            <v>232, 144</v>
          </cell>
          <cell r="Q241" t="str">
            <v>Muestra comercial</v>
          </cell>
          <cell r="R241" t="str">
            <v>Mandarina</v>
          </cell>
          <cell r="S241">
            <v>89</v>
          </cell>
          <cell r="T241">
            <v>0.4</v>
          </cell>
          <cell r="U241" t="str">
            <v>b</v>
          </cell>
        </row>
        <row r="242">
          <cell r="A242">
            <v>400</v>
          </cell>
          <cell r="B242" t="str">
            <v>Manga</v>
          </cell>
          <cell r="C242" t="str">
            <v>Manga</v>
          </cell>
          <cell r="F242" t="str">
            <v>Pulpa</v>
          </cell>
          <cell r="G242" t="str">
            <v>Madura</v>
          </cell>
          <cell r="H242" t="str">
            <v>Lavado</v>
          </cell>
          <cell r="I242" t="str">
            <v>Pelado</v>
          </cell>
          <cell r="L242" t="str">
            <v>Mango</v>
          </cell>
          <cell r="M242" t="str">
            <v>Mangifera</v>
          </cell>
          <cell r="N242" t="str">
            <v>indica L,</v>
          </cell>
          <cell r="O242" t="str">
            <v>Manga</v>
          </cell>
          <cell r="P242" t="str">
            <v>232</v>
          </cell>
          <cell r="Q242" t="str">
            <v>No reporta</v>
          </cell>
          <cell r="R242" t="str">
            <v>Manga</v>
          </cell>
          <cell r="S242">
            <v>84</v>
          </cell>
          <cell r="U242" t="str">
            <v>c</v>
          </cell>
        </row>
        <row r="243">
          <cell r="A243">
            <v>403</v>
          </cell>
          <cell r="B243" t="str">
            <v>Mango maduro</v>
          </cell>
          <cell r="C243" t="str">
            <v>Mango</v>
          </cell>
          <cell r="F243" t="str">
            <v>Pulpa</v>
          </cell>
          <cell r="G243" t="str">
            <v>Maduro</v>
          </cell>
          <cell r="H243" t="str">
            <v>Lavado</v>
          </cell>
          <cell r="I243" t="str">
            <v>Pelado</v>
          </cell>
          <cell r="M243" t="str">
            <v>Mangifera</v>
          </cell>
          <cell r="N243" t="str">
            <v>indica L</v>
          </cell>
          <cell r="P243" t="str">
            <v>232, 71, 87, 97, 99, 139, 214, 229,</v>
          </cell>
          <cell r="Q243" t="str">
            <v>Muestra comercial</v>
          </cell>
          <cell r="R243" t="str">
            <v>Mango maduro</v>
          </cell>
          <cell r="S243">
            <v>81.8</v>
          </cell>
          <cell r="T243">
            <v>3.6</v>
          </cell>
          <cell r="U243" t="str">
            <v>a</v>
          </cell>
        </row>
        <row r="244">
          <cell r="A244">
            <v>404</v>
          </cell>
          <cell r="B244" t="str">
            <v>Mango tommy atkins, maduro</v>
          </cell>
          <cell r="C244" t="str">
            <v>Mango</v>
          </cell>
          <cell r="F244" t="str">
            <v>Pulpa</v>
          </cell>
          <cell r="G244" t="str">
            <v>Maduro</v>
          </cell>
          <cell r="H244" t="str">
            <v>Lavado</v>
          </cell>
          <cell r="I244" t="str">
            <v>Pelado</v>
          </cell>
          <cell r="M244" t="str">
            <v>Manguifera</v>
          </cell>
          <cell r="N244" t="str">
            <v>indica L</v>
          </cell>
          <cell r="O244" t="str">
            <v>Tommy Atkins</v>
          </cell>
          <cell r="P244" t="str">
            <v>15</v>
          </cell>
          <cell r="Q244" t="str">
            <v>Muestra comercial</v>
          </cell>
          <cell r="R244" t="str">
            <v>Mango tommy atkins, maduro</v>
          </cell>
          <cell r="S244">
            <v>52.6</v>
          </cell>
          <cell r="U244" t="str">
            <v>c</v>
          </cell>
        </row>
        <row r="245">
          <cell r="A245">
            <v>407</v>
          </cell>
          <cell r="B245" t="str">
            <v>Mangosán</v>
          </cell>
          <cell r="C245" t="str">
            <v>Mangosán</v>
          </cell>
          <cell r="F245" t="str">
            <v>Pulpa y cáscara</v>
          </cell>
          <cell r="G245" t="str">
            <v>Maduro</v>
          </cell>
          <cell r="H245" t="str">
            <v>Lavado</v>
          </cell>
          <cell r="I245" t="str">
            <v>Extracción de pulpa</v>
          </cell>
          <cell r="L245" t="str">
            <v>Matasano</v>
          </cell>
          <cell r="M245" t="str">
            <v>Casimiroa</v>
          </cell>
          <cell r="N245" t="str">
            <v>edulis</v>
          </cell>
          <cell r="P245" t="str">
            <v>61</v>
          </cell>
          <cell r="Q245" t="str">
            <v>Cundinamarca</v>
          </cell>
          <cell r="R245" t="str">
            <v>Mangosán</v>
          </cell>
          <cell r="S245">
            <v>76.900000000000006</v>
          </cell>
          <cell r="T245">
            <v>0.5</v>
          </cell>
          <cell r="U245" t="str">
            <v>a</v>
          </cell>
        </row>
        <row r="246">
          <cell r="A246">
            <v>408</v>
          </cell>
          <cell r="B246" t="str">
            <v>Mangostán</v>
          </cell>
          <cell r="C246" t="str">
            <v>Mangostán</v>
          </cell>
          <cell r="F246" t="str">
            <v>Pulpa</v>
          </cell>
          <cell r="G246" t="str">
            <v>Maduro</v>
          </cell>
          <cell r="H246" t="str">
            <v>Lavado</v>
          </cell>
          <cell r="I246" t="str">
            <v>Extracción de pulpa</v>
          </cell>
          <cell r="M246" t="str">
            <v>Garcinia</v>
          </cell>
          <cell r="N246" t="str">
            <v>mangostana linneo</v>
          </cell>
          <cell r="P246" t="str">
            <v>212</v>
          </cell>
          <cell r="Q246" t="str">
            <v>Tolima</v>
          </cell>
          <cell r="R246" t="str">
            <v>Mangostán</v>
          </cell>
          <cell r="S246">
            <v>82</v>
          </cell>
          <cell r="U246" t="str">
            <v>b</v>
          </cell>
        </row>
        <row r="247">
          <cell r="A247">
            <v>409</v>
          </cell>
          <cell r="B247" t="str">
            <v>Manzana sin cáscara</v>
          </cell>
          <cell r="C247" t="str">
            <v>Manzana</v>
          </cell>
          <cell r="F247" t="str">
            <v>Pulpa sin semillas</v>
          </cell>
          <cell r="G247" t="str">
            <v>Maduro</v>
          </cell>
          <cell r="H247" t="str">
            <v>Lavado</v>
          </cell>
          <cell r="I247" t="str">
            <v>Extracción de pulpa</v>
          </cell>
          <cell r="M247" t="str">
            <v>Pyrus</v>
          </cell>
          <cell r="N247" t="str">
            <v>malus L,</v>
          </cell>
          <cell r="P247" t="str">
            <v>232</v>
          </cell>
          <cell r="Q247" t="str">
            <v>No reporta</v>
          </cell>
          <cell r="R247" t="str">
            <v>Manzana sin cáscara</v>
          </cell>
          <cell r="S247">
            <v>82.7</v>
          </cell>
          <cell r="U247" t="str">
            <v>c</v>
          </cell>
        </row>
        <row r="248">
          <cell r="A248">
            <v>410</v>
          </cell>
          <cell r="B248" t="str">
            <v>Maracuyá</v>
          </cell>
          <cell r="C248" t="str">
            <v>Maracuyá</v>
          </cell>
          <cell r="F248" t="str">
            <v>Pulpa sin cáscara ni semillas</v>
          </cell>
          <cell r="G248" t="str">
            <v>Maduro</v>
          </cell>
          <cell r="H248" t="str">
            <v>Lavado</v>
          </cell>
          <cell r="I248" t="str">
            <v>Extracción de pulpa</v>
          </cell>
          <cell r="M248" t="str">
            <v>Passiflora</v>
          </cell>
          <cell r="N248" t="str">
            <v>edulis</v>
          </cell>
          <cell r="P248" t="str">
            <v>232, 51, 71, 161</v>
          </cell>
          <cell r="Q248" t="str">
            <v>Huila</v>
          </cell>
          <cell r="R248" t="str">
            <v>Maracuyá</v>
          </cell>
          <cell r="S248">
            <v>84.9</v>
          </cell>
          <cell r="T248">
            <v>1.5</v>
          </cell>
          <cell r="U248" t="str">
            <v>b</v>
          </cell>
        </row>
        <row r="249">
          <cell r="A249">
            <v>412</v>
          </cell>
          <cell r="B249" t="str">
            <v>Marañón</v>
          </cell>
          <cell r="C249" t="str">
            <v>Marañon</v>
          </cell>
          <cell r="F249" t="str">
            <v>Almendra</v>
          </cell>
          <cell r="G249" t="str">
            <v>Maduro</v>
          </cell>
          <cell r="H249" t="str">
            <v>Lavado</v>
          </cell>
          <cell r="I249" t="str">
            <v>Extracción de pulpa</v>
          </cell>
          <cell r="M249" t="str">
            <v>Anacardium</v>
          </cell>
          <cell r="N249" t="str">
            <v>occidentale L,</v>
          </cell>
          <cell r="P249" t="str">
            <v>232</v>
          </cell>
          <cell r="Q249" t="str">
            <v>No reporta</v>
          </cell>
          <cell r="R249" t="str">
            <v>Marañón</v>
          </cell>
          <cell r="S249">
            <v>88.5</v>
          </cell>
          <cell r="U249" t="str">
            <v>c</v>
          </cell>
        </row>
        <row r="250">
          <cell r="A250">
            <v>413</v>
          </cell>
          <cell r="B250" t="str">
            <v>Marañon, almendra</v>
          </cell>
          <cell r="C250" t="str">
            <v>Marañón</v>
          </cell>
          <cell r="D250" t="str">
            <v>Almendra</v>
          </cell>
          <cell r="F250" t="str">
            <v>Nuez</v>
          </cell>
          <cell r="H250" t="str">
            <v>Escaldado</v>
          </cell>
          <cell r="I250" t="str">
            <v>Fritura</v>
          </cell>
          <cell r="M250" t="str">
            <v>Anacardium</v>
          </cell>
          <cell r="N250" t="str">
            <v>occidentale L</v>
          </cell>
          <cell r="P250" t="str">
            <v>216</v>
          </cell>
          <cell r="Q250" t="str">
            <v>Meta</v>
          </cell>
          <cell r="R250" t="str">
            <v>Marañon, almendra</v>
          </cell>
          <cell r="S250">
            <v>4.0999999999999996</v>
          </cell>
          <cell r="U250" t="str">
            <v>c</v>
          </cell>
        </row>
        <row r="251">
          <cell r="A251">
            <v>414</v>
          </cell>
          <cell r="B251" t="str">
            <v>Marañon, almendra</v>
          </cell>
          <cell r="C251" t="str">
            <v>Marañón</v>
          </cell>
          <cell r="D251" t="str">
            <v>Almendra</v>
          </cell>
          <cell r="F251" t="str">
            <v>Nuez</v>
          </cell>
          <cell r="H251" t="str">
            <v>Escaldado</v>
          </cell>
          <cell r="I251" t="str">
            <v>Tostado</v>
          </cell>
          <cell r="M251" t="str">
            <v>Anacardium</v>
          </cell>
          <cell r="N251" t="str">
            <v>occidentale L</v>
          </cell>
          <cell r="P251" t="str">
            <v>216</v>
          </cell>
          <cell r="Q251" t="str">
            <v>Meta</v>
          </cell>
          <cell r="R251" t="str">
            <v>Marañon, almendra</v>
          </cell>
          <cell r="S251">
            <v>2</v>
          </cell>
          <cell r="U251" t="str">
            <v>c</v>
          </cell>
        </row>
        <row r="252">
          <cell r="A252">
            <v>415</v>
          </cell>
          <cell r="B252" t="str">
            <v>Marañón, almendra</v>
          </cell>
          <cell r="C252" t="str">
            <v>Marañón</v>
          </cell>
          <cell r="D252" t="str">
            <v>Almendra</v>
          </cell>
          <cell r="F252" t="str">
            <v>Nuez</v>
          </cell>
          <cell r="H252" t="str">
            <v>Lavado</v>
          </cell>
          <cell r="I252" t="str">
            <v>Escaldado</v>
          </cell>
          <cell r="M252" t="str">
            <v>Anacardium</v>
          </cell>
          <cell r="N252" t="str">
            <v>occidentale L</v>
          </cell>
          <cell r="P252" t="str">
            <v>232, 216</v>
          </cell>
          <cell r="Q252" t="str">
            <v>Meta</v>
          </cell>
          <cell r="R252" t="str">
            <v>Marañón, almendra</v>
          </cell>
          <cell r="S252">
            <v>5.3</v>
          </cell>
          <cell r="U252" t="str">
            <v>c</v>
          </cell>
        </row>
        <row r="253">
          <cell r="A253">
            <v>416</v>
          </cell>
          <cell r="B253" t="str">
            <v>Melón común</v>
          </cell>
          <cell r="C253" t="str">
            <v>Melón</v>
          </cell>
          <cell r="D253" t="str">
            <v>Común</v>
          </cell>
          <cell r="F253" t="str">
            <v>Pulpa sin semilla</v>
          </cell>
          <cell r="G253" t="str">
            <v>Maduro</v>
          </cell>
          <cell r="H253" t="str">
            <v>Lavado</v>
          </cell>
          <cell r="I253" t="str">
            <v>Pelado</v>
          </cell>
          <cell r="M253" t="str">
            <v>Cucumis</v>
          </cell>
          <cell r="N253" t="str">
            <v>melo</v>
          </cell>
          <cell r="O253" t="str">
            <v>Común</v>
          </cell>
          <cell r="P253" t="str">
            <v>232</v>
          </cell>
          <cell r="Q253" t="str">
            <v>No reporta</v>
          </cell>
          <cell r="R253" t="str">
            <v>Melón común</v>
          </cell>
          <cell r="S253">
            <v>95.9</v>
          </cell>
          <cell r="U253" t="str">
            <v>c</v>
          </cell>
        </row>
        <row r="254">
          <cell r="A254">
            <v>417</v>
          </cell>
          <cell r="B254" t="str">
            <v>Melón pequeño</v>
          </cell>
          <cell r="C254" t="str">
            <v>Melón</v>
          </cell>
          <cell r="D254" t="str">
            <v>Pequeño</v>
          </cell>
          <cell r="F254" t="str">
            <v>Pulpa sin semilla</v>
          </cell>
          <cell r="G254" t="str">
            <v>Maduro</v>
          </cell>
          <cell r="H254" t="str">
            <v>Lavado</v>
          </cell>
          <cell r="I254" t="str">
            <v>Pelado</v>
          </cell>
          <cell r="M254" t="str">
            <v>Cucumis</v>
          </cell>
          <cell r="N254" t="str">
            <v>melo</v>
          </cell>
          <cell r="O254" t="str">
            <v>Pequeño</v>
          </cell>
          <cell r="P254" t="str">
            <v>232</v>
          </cell>
          <cell r="Q254" t="str">
            <v>No reporta</v>
          </cell>
          <cell r="R254" t="str">
            <v>Melón pequeño</v>
          </cell>
          <cell r="S254">
            <v>94.6</v>
          </cell>
          <cell r="U254" t="str">
            <v>c</v>
          </cell>
        </row>
        <row r="255">
          <cell r="A255">
            <v>418</v>
          </cell>
          <cell r="B255" t="str">
            <v>Mora</v>
          </cell>
          <cell r="C255" t="str">
            <v>Mora</v>
          </cell>
          <cell r="F255" t="str">
            <v>Pulpa</v>
          </cell>
          <cell r="G255" t="str">
            <v>Madura</v>
          </cell>
          <cell r="H255" t="str">
            <v>Lavado</v>
          </cell>
          <cell r="M255" t="str">
            <v>Rubus</v>
          </cell>
          <cell r="N255" t="str">
            <v>bogotensis H,B,K,</v>
          </cell>
          <cell r="P255" t="str">
            <v>232</v>
          </cell>
          <cell r="Q255" t="str">
            <v>No reporta</v>
          </cell>
          <cell r="R255" t="str">
            <v>Mora</v>
          </cell>
          <cell r="S255">
            <v>92.6</v>
          </cell>
          <cell r="T255">
            <v>1.1000000000000001</v>
          </cell>
          <cell r="U255" t="str">
            <v>c</v>
          </cell>
        </row>
        <row r="256">
          <cell r="A256">
            <v>419</v>
          </cell>
          <cell r="B256" t="str">
            <v>Mora de castilla</v>
          </cell>
          <cell r="C256" t="str">
            <v>Mora</v>
          </cell>
          <cell r="D256" t="str">
            <v>De Castilla</v>
          </cell>
          <cell r="F256" t="str">
            <v>Pulpa</v>
          </cell>
          <cell r="H256" t="str">
            <v>Lavado</v>
          </cell>
          <cell r="I256" t="str">
            <v>Escaldado</v>
          </cell>
          <cell r="J256" t="str">
            <v>Licuado</v>
          </cell>
          <cell r="M256" t="str">
            <v>Rubus</v>
          </cell>
          <cell r="N256" t="str">
            <v>glaucus Benth</v>
          </cell>
          <cell r="O256" t="str">
            <v>De Castilla</v>
          </cell>
          <cell r="P256" t="str">
            <v>232, 3, 8, 48, 101, 161</v>
          </cell>
          <cell r="Q256" t="str">
            <v>Muestra comercial</v>
          </cell>
          <cell r="R256" t="str">
            <v>Mora de castilla</v>
          </cell>
          <cell r="S256">
            <v>83.7</v>
          </cell>
          <cell r="T256">
            <v>0</v>
          </cell>
          <cell r="U256" t="str">
            <v>b</v>
          </cell>
        </row>
        <row r="257">
          <cell r="A257">
            <v>422</v>
          </cell>
          <cell r="B257" t="str">
            <v>Naranja</v>
          </cell>
          <cell r="C257" t="str">
            <v>Naranja</v>
          </cell>
          <cell r="G257" t="str">
            <v>Madura</v>
          </cell>
          <cell r="H257" t="str">
            <v>Lavado</v>
          </cell>
          <cell r="I257" t="str">
            <v>Extracción de pulpa</v>
          </cell>
          <cell r="M257" t="str">
            <v>Citrus</v>
          </cell>
          <cell r="N257" t="str">
            <v>sinensis L</v>
          </cell>
          <cell r="O257" t="str">
            <v>Osbeck</v>
          </cell>
          <cell r="P257" t="str">
            <v>232, 26, 71, 144, 161</v>
          </cell>
          <cell r="Q257" t="str">
            <v>Cundinamarca</v>
          </cell>
          <cell r="R257" t="str">
            <v>Naranja</v>
          </cell>
          <cell r="S257">
            <v>87.4</v>
          </cell>
          <cell r="T257">
            <v>5.5</v>
          </cell>
          <cell r="U257" t="str">
            <v>a</v>
          </cell>
        </row>
        <row r="258">
          <cell r="A258">
            <v>423</v>
          </cell>
          <cell r="B258" t="str">
            <v>Naranja valencia</v>
          </cell>
          <cell r="C258" t="str">
            <v>Naranja</v>
          </cell>
          <cell r="D258" t="str">
            <v>Valencia</v>
          </cell>
          <cell r="F258" t="str">
            <v>Pulpa</v>
          </cell>
          <cell r="H258" t="str">
            <v>Lavado</v>
          </cell>
          <cell r="I258" t="str">
            <v>Extracción de pulpa</v>
          </cell>
          <cell r="M258" t="str">
            <v>Citrus</v>
          </cell>
          <cell r="N258" t="str">
            <v>sinensis</v>
          </cell>
          <cell r="O258" t="str">
            <v>Valencia</v>
          </cell>
          <cell r="P258" t="str">
            <v xml:space="preserve"> Industria</v>
          </cell>
          <cell r="Q258" t="str">
            <v>Caldas</v>
          </cell>
          <cell r="R258" t="str">
            <v>Naranja valencia</v>
          </cell>
          <cell r="S258">
            <v>89</v>
          </cell>
          <cell r="T258">
            <v>0.6</v>
          </cell>
          <cell r="U258" t="str">
            <v>b</v>
          </cell>
        </row>
        <row r="259">
          <cell r="A259">
            <v>424</v>
          </cell>
          <cell r="B259" t="str">
            <v>Níspero</v>
          </cell>
          <cell r="C259" t="str">
            <v>Níspero</v>
          </cell>
          <cell r="F259" t="str">
            <v>Pulpa sin semillas ni cáscara</v>
          </cell>
          <cell r="G259" t="str">
            <v>Maduro</v>
          </cell>
          <cell r="H259" t="str">
            <v>Lavado</v>
          </cell>
          <cell r="I259" t="str">
            <v>Extracción de pulpa</v>
          </cell>
          <cell r="M259" t="str">
            <v>Manilkara</v>
          </cell>
          <cell r="N259" t="str">
            <v>zapotilla</v>
          </cell>
          <cell r="O259" t="str">
            <v>Guilly</v>
          </cell>
          <cell r="P259" t="str">
            <v>232</v>
          </cell>
          <cell r="Q259" t="str">
            <v>No reporta</v>
          </cell>
          <cell r="R259" t="str">
            <v>Níspero</v>
          </cell>
          <cell r="S259">
            <v>84.9</v>
          </cell>
          <cell r="U259" t="str">
            <v>c</v>
          </cell>
        </row>
        <row r="260">
          <cell r="A260">
            <v>425</v>
          </cell>
          <cell r="B260" t="str">
            <v>Níspero del Japón</v>
          </cell>
          <cell r="C260" t="str">
            <v>Níspero</v>
          </cell>
          <cell r="D260" t="str">
            <v>Del Japón</v>
          </cell>
          <cell r="F260" t="str">
            <v>Pulpa sin semillas ni cáscara</v>
          </cell>
          <cell r="G260" t="str">
            <v>Maduro</v>
          </cell>
          <cell r="H260" t="str">
            <v>Lavado</v>
          </cell>
          <cell r="I260" t="str">
            <v>Extracción de pulpa</v>
          </cell>
          <cell r="M260" t="str">
            <v>Eriobotrya</v>
          </cell>
          <cell r="N260" t="str">
            <v>japonica Lindl</v>
          </cell>
          <cell r="O260" t="str">
            <v>Lindl</v>
          </cell>
          <cell r="P260" t="str">
            <v>232</v>
          </cell>
          <cell r="Q260" t="str">
            <v>No reporta</v>
          </cell>
          <cell r="R260" t="str">
            <v>Níspero del Japón</v>
          </cell>
          <cell r="S260">
            <v>88</v>
          </cell>
          <cell r="U260" t="str">
            <v>c</v>
          </cell>
        </row>
        <row r="261">
          <cell r="A261">
            <v>426</v>
          </cell>
          <cell r="B261" t="str">
            <v>Nuez, castaña del Pará</v>
          </cell>
          <cell r="C261" t="str">
            <v>Nuez</v>
          </cell>
          <cell r="F261" t="str">
            <v>Semilla</v>
          </cell>
          <cell r="G261" t="str">
            <v>Madura</v>
          </cell>
          <cell r="H261" t="str">
            <v>Limpieza</v>
          </cell>
          <cell r="L261" t="str">
            <v>Castaña del Para, nuez del Brasil</v>
          </cell>
          <cell r="M261" t="str">
            <v>Bertholletia</v>
          </cell>
          <cell r="N261" t="str">
            <v>excelsa</v>
          </cell>
          <cell r="P261" t="str">
            <v>232</v>
          </cell>
          <cell r="Q261" t="str">
            <v>No reporta</v>
          </cell>
          <cell r="R261" t="str">
            <v>Nuez, castaña del Pará</v>
          </cell>
          <cell r="S261">
            <v>4.5999999999999996</v>
          </cell>
          <cell r="U261" t="str">
            <v>d</v>
          </cell>
        </row>
        <row r="262">
          <cell r="A262">
            <v>427</v>
          </cell>
          <cell r="B262" t="str">
            <v>Palmito de chontaduro</v>
          </cell>
          <cell r="C262" t="str">
            <v>Palmito</v>
          </cell>
          <cell r="D262" t="str">
            <v>De chontaduro</v>
          </cell>
          <cell r="F262" t="str">
            <v>Corazón de la palma</v>
          </cell>
          <cell r="H262" t="str">
            <v>Lavado</v>
          </cell>
          <cell r="M262" t="str">
            <v>Bactris</v>
          </cell>
          <cell r="N262" t="str">
            <v>gasipaes</v>
          </cell>
          <cell r="P262" t="str">
            <v>176</v>
          </cell>
          <cell r="Q262" t="str">
            <v>Valle del Cauca</v>
          </cell>
          <cell r="R262" t="str">
            <v>Palmito de chontaduro</v>
          </cell>
          <cell r="S262">
            <v>87.6</v>
          </cell>
          <cell r="U262" t="str">
            <v>c</v>
          </cell>
        </row>
        <row r="263">
          <cell r="A263">
            <v>432</v>
          </cell>
          <cell r="B263" t="str">
            <v>Papaya madura</v>
          </cell>
          <cell r="C263" t="str">
            <v>Papaya</v>
          </cell>
          <cell r="F263" t="str">
            <v>Pulpa</v>
          </cell>
          <cell r="G263" t="str">
            <v>Madura</v>
          </cell>
          <cell r="H263" t="str">
            <v>Pelado</v>
          </cell>
          <cell r="L263" t="str">
            <v>Lechosa</v>
          </cell>
          <cell r="M263" t="str">
            <v>Carica</v>
          </cell>
          <cell r="N263" t="str">
            <v>papaya L,</v>
          </cell>
          <cell r="P263" t="str">
            <v>232, 204</v>
          </cell>
          <cell r="Q263" t="str">
            <v>Meta</v>
          </cell>
          <cell r="R263" t="str">
            <v>Papaya madura</v>
          </cell>
          <cell r="S263">
            <v>89.9</v>
          </cell>
          <cell r="T263">
            <v>0.1</v>
          </cell>
          <cell r="U263" t="str">
            <v>c</v>
          </cell>
        </row>
        <row r="264">
          <cell r="A264">
            <v>434</v>
          </cell>
          <cell r="B264" t="str">
            <v>Papayuela</v>
          </cell>
          <cell r="C264" t="str">
            <v>Papayuela</v>
          </cell>
          <cell r="F264" t="str">
            <v>Pulpa sin semillas</v>
          </cell>
          <cell r="G264" t="str">
            <v>Madura</v>
          </cell>
          <cell r="H264" t="str">
            <v>Lavado</v>
          </cell>
          <cell r="I264" t="str">
            <v>Pelado</v>
          </cell>
          <cell r="J264" t="str">
            <v>Separación</v>
          </cell>
          <cell r="M264" t="str">
            <v>Carica</v>
          </cell>
          <cell r="N264" t="str">
            <v>candamarcens</v>
          </cell>
          <cell r="P264" t="str">
            <v>232</v>
          </cell>
          <cell r="Q264" t="str">
            <v>No reporta</v>
          </cell>
          <cell r="R264" t="str">
            <v>Papayuela</v>
          </cell>
          <cell r="S264">
            <v>93.5</v>
          </cell>
          <cell r="U264" t="str">
            <v>c</v>
          </cell>
        </row>
        <row r="265">
          <cell r="A265">
            <v>436</v>
          </cell>
          <cell r="B265" t="str">
            <v>Patilla</v>
          </cell>
          <cell r="C265" t="str">
            <v>Patilla</v>
          </cell>
          <cell r="F265" t="str">
            <v>Pulpa sin semilla ni cáscara</v>
          </cell>
          <cell r="G265" t="str">
            <v>Maduro</v>
          </cell>
          <cell r="H265" t="str">
            <v>Lavado</v>
          </cell>
          <cell r="I265" t="str">
            <v>Extracción de pulpa</v>
          </cell>
          <cell r="L265" t="str">
            <v>Patilla, sandía</v>
          </cell>
          <cell r="M265" t="str">
            <v>Citrullus</v>
          </cell>
          <cell r="N265" t="str">
            <v>vulgaris</v>
          </cell>
          <cell r="O265" t="str">
            <v>Schrad</v>
          </cell>
          <cell r="P265" t="str">
            <v>232</v>
          </cell>
          <cell r="Q265" t="str">
            <v>No reporta</v>
          </cell>
          <cell r="R265" t="str">
            <v>Patilla</v>
          </cell>
          <cell r="S265">
            <v>95.7</v>
          </cell>
          <cell r="U265" t="str">
            <v>c</v>
          </cell>
        </row>
        <row r="266">
          <cell r="A266">
            <v>437</v>
          </cell>
          <cell r="B266" t="str">
            <v>Pera</v>
          </cell>
          <cell r="C266" t="str">
            <v>Pera</v>
          </cell>
          <cell r="F266" t="str">
            <v>Pulpa sin semillas, ni cáscara</v>
          </cell>
          <cell r="G266" t="str">
            <v>Maduro</v>
          </cell>
          <cell r="H266" t="str">
            <v>Lavado</v>
          </cell>
          <cell r="I266" t="str">
            <v>Extracción de pulpa</v>
          </cell>
          <cell r="M266" t="str">
            <v>Pyrus</v>
          </cell>
          <cell r="N266" t="str">
            <v>communis L,</v>
          </cell>
          <cell r="P266" t="str">
            <v>232</v>
          </cell>
          <cell r="Q266" t="str">
            <v>No reporta</v>
          </cell>
          <cell r="R266" t="str">
            <v>Pera</v>
          </cell>
          <cell r="S266">
            <v>88.9</v>
          </cell>
          <cell r="U266" t="str">
            <v>c</v>
          </cell>
        </row>
        <row r="267">
          <cell r="A267">
            <v>438</v>
          </cell>
          <cell r="B267" t="str">
            <v>Pera Chilena</v>
          </cell>
          <cell r="C267" t="str">
            <v>Pera</v>
          </cell>
          <cell r="D267" t="str">
            <v>Chilena</v>
          </cell>
          <cell r="F267" t="str">
            <v>Fruto entero</v>
          </cell>
          <cell r="G267" t="str">
            <v>Maduro</v>
          </cell>
          <cell r="H267" t="str">
            <v>Lavado</v>
          </cell>
          <cell r="M267" t="str">
            <v>Pyrus</v>
          </cell>
          <cell r="N267" t="str">
            <v>communis L</v>
          </cell>
          <cell r="P267" t="str">
            <v>196</v>
          </cell>
          <cell r="R267" t="str">
            <v>Pera Chilena</v>
          </cell>
          <cell r="S267">
            <v>86</v>
          </cell>
          <cell r="U267" t="str">
            <v>b</v>
          </cell>
        </row>
        <row r="268">
          <cell r="A268">
            <v>439</v>
          </cell>
          <cell r="B268" t="str">
            <v>Piña</v>
          </cell>
          <cell r="C268" t="str">
            <v>Piña</v>
          </cell>
          <cell r="F268" t="str">
            <v>Pulpa sin corazón</v>
          </cell>
          <cell r="G268" t="str">
            <v>Maduro</v>
          </cell>
          <cell r="H268" t="str">
            <v>Lavado</v>
          </cell>
          <cell r="I268" t="str">
            <v>Pelado</v>
          </cell>
          <cell r="L268" t="str">
            <v>Ananas</v>
          </cell>
          <cell r="M268" t="str">
            <v>Ananas</v>
          </cell>
          <cell r="N268" t="str">
            <v>comosus L,</v>
          </cell>
          <cell r="P268" t="str">
            <v>232</v>
          </cell>
          <cell r="Q268" t="str">
            <v>No reporta</v>
          </cell>
          <cell r="R268" t="str">
            <v>Piña</v>
          </cell>
          <cell r="S268">
            <v>85.5</v>
          </cell>
          <cell r="T268">
            <v>0.6</v>
          </cell>
          <cell r="U268" t="str">
            <v>c</v>
          </cell>
        </row>
        <row r="269">
          <cell r="A269">
            <v>442</v>
          </cell>
          <cell r="B269" t="str">
            <v>Piña india blanca</v>
          </cell>
          <cell r="C269" t="str">
            <v>Piña</v>
          </cell>
          <cell r="D269" t="str">
            <v>India Blanca</v>
          </cell>
          <cell r="F269" t="str">
            <v>Pulpa</v>
          </cell>
          <cell r="H269" t="str">
            <v>Lavado</v>
          </cell>
          <cell r="I269" t="str">
            <v>Pelado</v>
          </cell>
          <cell r="P269" t="str">
            <v>230</v>
          </cell>
          <cell r="Q269" t="str">
            <v>Amazónico</v>
          </cell>
          <cell r="R269" t="str">
            <v>Piña india blanca</v>
          </cell>
          <cell r="S269">
            <v>86.9</v>
          </cell>
          <cell r="T269">
            <v>0.5</v>
          </cell>
          <cell r="U269" t="str">
            <v>a</v>
          </cell>
        </row>
        <row r="270">
          <cell r="A270">
            <v>444</v>
          </cell>
          <cell r="B270" t="str">
            <v>Piña uva hartón</v>
          </cell>
          <cell r="C270" t="str">
            <v>Piña</v>
          </cell>
          <cell r="D270" t="str">
            <v>Uva hartón</v>
          </cell>
          <cell r="F270" t="str">
            <v>Pulpa</v>
          </cell>
          <cell r="H270" t="str">
            <v>Lavado</v>
          </cell>
          <cell r="I270" t="str">
            <v>Pelado</v>
          </cell>
          <cell r="P270" t="str">
            <v>230</v>
          </cell>
          <cell r="Q270" t="str">
            <v>Amazónico</v>
          </cell>
          <cell r="R270" t="str">
            <v>Piña uva hartón</v>
          </cell>
          <cell r="S270">
            <v>77</v>
          </cell>
          <cell r="U270" t="str">
            <v>a</v>
          </cell>
        </row>
        <row r="271">
          <cell r="A271">
            <v>445</v>
          </cell>
          <cell r="B271" t="str">
            <v>Piñuela</v>
          </cell>
          <cell r="C271" t="str">
            <v>Piñuela</v>
          </cell>
          <cell r="F271" t="str">
            <v>Pulpa</v>
          </cell>
          <cell r="G271" t="str">
            <v>Madura</v>
          </cell>
          <cell r="H271" t="str">
            <v>Lavado</v>
          </cell>
          <cell r="I271" t="str">
            <v>Pelado</v>
          </cell>
          <cell r="M271" t="str">
            <v>Bromelia</v>
          </cell>
          <cell r="N271" t="str">
            <v>chrysantha</v>
          </cell>
          <cell r="P271" t="str">
            <v>89</v>
          </cell>
          <cell r="Q271" t="str">
            <v>Tolima</v>
          </cell>
          <cell r="R271" t="str">
            <v>Piñuela</v>
          </cell>
          <cell r="S271">
            <v>85.9</v>
          </cell>
          <cell r="T271">
            <v>1.6</v>
          </cell>
          <cell r="U271" t="str">
            <v>b</v>
          </cell>
        </row>
        <row r="272">
          <cell r="A272">
            <v>446</v>
          </cell>
          <cell r="B272" t="str">
            <v>Pistacho</v>
          </cell>
          <cell r="C272" t="str">
            <v>Pistacho</v>
          </cell>
          <cell r="F272" t="str">
            <v>Grano entero</v>
          </cell>
          <cell r="H272" t="str">
            <v>Lavado</v>
          </cell>
          <cell r="I272" t="str">
            <v>Tostado</v>
          </cell>
          <cell r="M272" t="str">
            <v>Pistacia</v>
          </cell>
          <cell r="N272" t="str">
            <v>vera</v>
          </cell>
          <cell r="P272" t="str">
            <v>234, 235</v>
          </cell>
          <cell r="R272" t="str">
            <v>Pistacho</v>
          </cell>
          <cell r="S272">
            <v>2.1</v>
          </cell>
          <cell r="U272" t="str">
            <v>d</v>
          </cell>
        </row>
        <row r="273">
          <cell r="A273">
            <v>447</v>
          </cell>
          <cell r="B273" t="str">
            <v>Pitahaya amarilla</v>
          </cell>
          <cell r="C273" t="str">
            <v>Pitahaya</v>
          </cell>
          <cell r="D273" t="str">
            <v>Amarilla</v>
          </cell>
          <cell r="F273" t="str">
            <v>Pulpa</v>
          </cell>
          <cell r="G273" t="str">
            <v>Madura</v>
          </cell>
          <cell r="H273" t="str">
            <v>Lavado</v>
          </cell>
          <cell r="I273" t="str">
            <v>Extracción de pulpa</v>
          </cell>
          <cell r="M273" t="str">
            <v>Acanthocereus</v>
          </cell>
          <cell r="N273" t="str">
            <v>pitajaya</v>
          </cell>
          <cell r="O273" t="str">
            <v>Amarilla</v>
          </cell>
          <cell r="P273" t="str">
            <v>232, 255</v>
          </cell>
          <cell r="Q273" t="str">
            <v>Cundinamarca</v>
          </cell>
          <cell r="R273" t="str">
            <v>Pitahaya amarilla</v>
          </cell>
          <cell r="S273">
            <v>85.5</v>
          </cell>
          <cell r="T273">
            <v>0.1</v>
          </cell>
          <cell r="U273" t="str">
            <v>c</v>
          </cell>
        </row>
        <row r="274">
          <cell r="A274">
            <v>448</v>
          </cell>
          <cell r="B274" t="str">
            <v>Pitahaya roja</v>
          </cell>
          <cell r="C274" t="str">
            <v>Pitahaya</v>
          </cell>
          <cell r="D274" t="str">
            <v>Roja</v>
          </cell>
          <cell r="F274" t="str">
            <v>Pulpa</v>
          </cell>
          <cell r="G274" t="str">
            <v>Madura</v>
          </cell>
          <cell r="H274" t="str">
            <v>Lavado</v>
          </cell>
          <cell r="I274" t="str">
            <v>Extracción de pulpa</v>
          </cell>
          <cell r="M274" t="str">
            <v>Acanthocereus</v>
          </cell>
          <cell r="N274" t="str">
            <v>triangularis</v>
          </cell>
          <cell r="O274" t="str">
            <v>Roja</v>
          </cell>
          <cell r="P274" t="str">
            <v>232162</v>
          </cell>
          <cell r="Q274" t="str">
            <v>No reporta</v>
          </cell>
          <cell r="R274" t="str">
            <v>Pitahaya roja</v>
          </cell>
          <cell r="S274">
            <v>87.3</v>
          </cell>
          <cell r="T274">
            <v>3</v>
          </cell>
          <cell r="U274" t="str">
            <v>b</v>
          </cell>
        </row>
        <row r="275">
          <cell r="A275">
            <v>449</v>
          </cell>
          <cell r="B275" t="str">
            <v>Pomarrosa</v>
          </cell>
          <cell r="C275" t="str">
            <v>Pomarrosa</v>
          </cell>
          <cell r="F275" t="str">
            <v>Pulpa</v>
          </cell>
          <cell r="G275" t="str">
            <v>Madura</v>
          </cell>
          <cell r="H275" t="str">
            <v>Lavado</v>
          </cell>
          <cell r="I275" t="str">
            <v>Extracción de pulpa</v>
          </cell>
          <cell r="M275" t="str">
            <v>Syzygiun</v>
          </cell>
          <cell r="N275" t="str">
            <v>jambos L,</v>
          </cell>
          <cell r="O275" t="str">
            <v>Alston</v>
          </cell>
          <cell r="P275" t="str">
            <v>232, 13</v>
          </cell>
          <cell r="Q275" t="str">
            <v>Santander</v>
          </cell>
          <cell r="R275" t="str">
            <v>Pomarrosa</v>
          </cell>
          <cell r="S275">
            <v>81.099999999999994</v>
          </cell>
          <cell r="T275">
            <v>1</v>
          </cell>
          <cell r="U275" t="str">
            <v>c</v>
          </cell>
        </row>
        <row r="276">
          <cell r="A276">
            <v>450</v>
          </cell>
          <cell r="B276" t="str">
            <v>Pomarrosa de málaga</v>
          </cell>
          <cell r="C276" t="str">
            <v>Pomarrosa</v>
          </cell>
          <cell r="D276" t="str">
            <v>De Málaga</v>
          </cell>
          <cell r="F276" t="str">
            <v>Pulpa</v>
          </cell>
          <cell r="G276" t="str">
            <v>Madura</v>
          </cell>
          <cell r="H276" t="str">
            <v>Lavado</v>
          </cell>
          <cell r="I276" t="str">
            <v>Extracción de pulpa</v>
          </cell>
          <cell r="M276" t="str">
            <v>Eugenia</v>
          </cell>
          <cell r="N276" t="str">
            <v>malaccensis</v>
          </cell>
          <cell r="O276" t="str">
            <v>De Málaga</v>
          </cell>
          <cell r="P276" t="str">
            <v>89</v>
          </cell>
          <cell r="Q276" t="str">
            <v>Cundinamarca</v>
          </cell>
          <cell r="R276" t="str">
            <v>Pomarrosa de málaga</v>
          </cell>
          <cell r="S276">
            <v>87.8</v>
          </cell>
          <cell r="T276">
            <v>1.1000000000000001</v>
          </cell>
          <cell r="U276" t="str">
            <v>b</v>
          </cell>
        </row>
        <row r="277">
          <cell r="A277">
            <v>456</v>
          </cell>
          <cell r="B277" t="str">
            <v>Tamarindo</v>
          </cell>
          <cell r="C277" t="str">
            <v>Pulpa</v>
          </cell>
          <cell r="F277" t="str">
            <v>Pulpa sin semilla</v>
          </cell>
          <cell r="G277" t="str">
            <v>Maduro</v>
          </cell>
          <cell r="H277" t="str">
            <v>Lavado</v>
          </cell>
          <cell r="I277" t="str">
            <v>Extracción de pulpa</v>
          </cell>
          <cell r="L277" t="str">
            <v>Tamarindo</v>
          </cell>
          <cell r="M277" t="str">
            <v>Tamarindus</v>
          </cell>
          <cell r="N277" t="str">
            <v>indica L,</v>
          </cell>
          <cell r="P277" t="str">
            <v>232</v>
          </cell>
          <cell r="Q277" t="str">
            <v>No reporta</v>
          </cell>
          <cell r="R277" t="str">
            <v>Tamarindo</v>
          </cell>
          <cell r="S277">
            <v>18.399999999999999</v>
          </cell>
          <cell r="U277" t="str">
            <v>c</v>
          </cell>
        </row>
        <row r="278">
          <cell r="A278">
            <v>457</v>
          </cell>
          <cell r="B278" t="str">
            <v>Táparo</v>
          </cell>
          <cell r="C278" t="str">
            <v>Táparo</v>
          </cell>
          <cell r="F278" t="str">
            <v>Nuez</v>
          </cell>
          <cell r="H278" t="str">
            <v>Lavado</v>
          </cell>
          <cell r="L278" t="str">
            <v>Corozo</v>
          </cell>
          <cell r="M278" t="str">
            <v>Orbignya</v>
          </cell>
          <cell r="N278" t="str">
            <v>cuatrecasana</v>
          </cell>
          <cell r="O278" t="str">
            <v>Dugant</v>
          </cell>
          <cell r="P278" t="str">
            <v>232</v>
          </cell>
          <cell r="Q278" t="str">
            <v>No reporta</v>
          </cell>
          <cell r="R278" t="str">
            <v>Táparo</v>
          </cell>
          <cell r="S278">
            <v>48.8</v>
          </cell>
          <cell r="U278" t="str">
            <v>c</v>
          </cell>
        </row>
        <row r="279">
          <cell r="A279">
            <v>458</v>
          </cell>
          <cell r="B279" t="str">
            <v>Tomate de árbol</v>
          </cell>
          <cell r="C279" t="str">
            <v>Tomate de árbol</v>
          </cell>
          <cell r="F279" t="str">
            <v>Pulpa</v>
          </cell>
          <cell r="G279" t="str">
            <v>Maduro</v>
          </cell>
          <cell r="H279" t="str">
            <v>Lavado</v>
          </cell>
          <cell r="I279" t="str">
            <v>Escaldado</v>
          </cell>
          <cell r="J279" t="str">
            <v>Pelado</v>
          </cell>
          <cell r="K279" t="str">
            <v>Licuado</v>
          </cell>
          <cell r="M279" t="str">
            <v>Cyphomandra</v>
          </cell>
          <cell r="N279" t="str">
            <v>betacea</v>
          </cell>
          <cell r="P279" t="str">
            <v>232, 3, 139, 228</v>
          </cell>
          <cell r="Q279" t="str">
            <v>Muestra comercial</v>
          </cell>
          <cell r="R279" t="str">
            <v>Tomate de árbol</v>
          </cell>
          <cell r="S279">
            <v>85.2</v>
          </cell>
          <cell r="T279">
            <v>4.5</v>
          </cell>
          <cell r="U279" t="str">
            <v>b</v>
          </cell>
        </row>
        <row r="280">
          <cell r="A280">
            <v>463</v>
          </cell>
          <cell r="B280" t="str">
            <v>Toronja</v>
          </cell>
          <cell r="C280" t="str">
            <v>Toronja</v>
          </cell>
          <cell r="F280" t="str">
            <v>Pulpa</v>
          </cell>
          <cell r="H280" t="str">
            <v>Lavado</v>
          </cell>
          <cell r="I280" t="str">
            <v>Extracción de pulpa</v>
          </cell>
          <cell r="M280" t="str">
            <v>Citrus</v>
          </cell>
          <cell r="N280" t="str">
            <v>paradisi</v>
          </cell>
          <cell r="P280" t="str">
            <v>232, 71</v>
          </cell>
          <cell r="Q280" t="str">
            <v>Muestra comercial</v>
          </cell>
          <cell r="R280" t="str">
            <v>Toronja</v>
          </cell>
          <cell r="S280">
            <v>87.3</v>
          </cell>
          <cell r="T280">
            <v>4.2</v>
          </cell>
          <cell r="U280" t="str">
            <v>b</v>
          </cell>
        </row>
        <row r="281">
          <cell r="A281">
            <v>464</v>
          </cell>
          <cell r="B281" t="str">
            <v>Tuna</v>
          </cell>
          <cell r="C281" t="str">
            <v>Tuna</v>
          </cell>
          <cell r="F281" t="str">
            <v>Pulpa sin semillas</v>
          </cell>
          <cell r="G281" t="str">
            <v>Madura</v>
          </cell>
          <cell r="H281" t="str">
            <v>Lavado</v>
          </cell>
          <cell r="I281" t="str">
            <v>Extracción de pulpa</v>
          </cell>
          <cell r="M281" t="str">
            <v>Opuntia</v>
          </cell>
          <cell r="N281" t="str">
            <v>schumannii</v>
          </cell>
          <cell r="O281" t="str">
            <v>Weber ex Berjer</v>
          </cell>
          <cell r="P281" t="str">
            <v>232</v>
          </cell>
          <cell r="Q281" t="str">
            <v>No reporta</v>
          </cell>
          <cell r="R281" t="str">
            <v>Tuna</v>
          </cell>
          <cell r="S281">
            <v>90.6</v>
          </cell>
          <cell r="U281" t="str">
            <v>c</v>
          </cell>
        </row>
        <row r="282">
          <cell r="A282">
            <v>465</v>
          </cell>
          <cell r="B282" t="str">
            <v>Uchuva</v>
          </cell>
          <cell r="C282" t="str">
            <v>Uchuva</v>
          </cell>
          <cell r="F282" t="str">
            <v>Pulpa con cáscara</v>
          </cell>
          <cell r="G282" t="str">
            <v>Madura</v>
          </cell>
          <cell r="H282" t="str">
            <v>Lavado</v>
          </cell>
          <cell r="I282" t="str">
            <v>Extracción de pulpa</v>
          </cell>
          <cell r="L282" t="str">
            <v>Guchuva</v>
          </cell>
          <cell r="M282" t="str">
            <v>Physalis</v>
          </cell>
          <cell r="N282" t="str">
            <v>peruviana L</v>
          </cell>
          <cell r="P282" t="str">
            <v>232, 70, 74</v>
          </cell>
          <cell r="Q282" t="str">
            <v>Cundinamarca</v>
          </cell>
          <cell r="R282" t="str">
            <v>Uchuva</v>
          </cell>
          <cell r="S282">
            <v>85</v>
          </cell>
          <cell r="T282">
            <v>1.3</v>
          </cell>
          <cell r="U282" t="str">
            <v>c</v>
          </cell>
        </row>
        <row r="283">
          <cell r="A283">
            <v>466</v>
          </cell>
          <cell r="B283" t="str">
            <v>Uchuva en almibar</v>
          </cell>
          <cell r="C283" t="str">
            <v>Uchuva</v>
          </cell>
          <cell r="D283" t="str">
            <v>En almibar</v>
          </cell>
          <cell r="F283" t="str">
            <v>Fruto entero</v>
          </cell>
          <cell r="G283" t="str">
            <v>Madura</v>
          </cell>
          <cell r="H283" t="str">
            <v>Lavado</v>
          </cell>
          <cell r="I283" t="str">
            <v>Preparación del almibar</v>
          </cell>
          <cell r="J283" t="str">
            <v>Envasado</v>
          </cell>
          <cell r="K283" t="str">
            <v>Esterilizado</v>
          </cell>
          <cell r="M283" t="str">
            <v>Physalis</v>
          </cell>
          <cell r="N283" t="str">
            <v>peruviana L</v>
          </cell>
          <cell r="P283" t="str">
            <v>25</v>
          </cell>
          <cell r="Q283" t="str">
            <v>Muestra comercial</v>
          </cell>
          <cell r="R283" t="str">
            <v>Uchuva en almibar</v>
          </cell>
          <cell r="S283">
            <v>58.2</v>
          </cell>
          <cell r="U283" t="str">
            <v>c</v>
          </cell>
        </row>
        <row r="284">
          <cell r="A284">
            <v>467</v>
          </cell>
          <cell r="B284" t="str">
            <v>Uva blanca, pulpa</v>
          </cell>
          <cell r="C284" t="str">
            <v>Uva</v>
          </cell>
          <cell r="D284" t="str">
            <v>Blanca</v>
          </cell>
          <cell r="F284" t="str">
            <v>Pulpa sin semillas</v>
          </cell>
          <cell r="G284" t="str">
            <v>Madura</v>
          </cell>
          <cell r="H284" t="str">
            <v>Lavado</v>
          </cell>
          <cell r="I284" t="str">
            <v>Extracción de pulpa</v>
          </cell>
          <cell r="M284" t="str">
            <v>Vitis</v>
          </cell>
          <cell r="N284" t="str">
            <v>vinifera L,</v>
          </cell>
          <cell r="O284" t="str">
            <v>Blanca</v>
          </cell>
          <cell r="P284" t="str">
            <v>232</v>
          </cell>
          <cell r="Q284" t="str">
            <v>No reporta</v>
          </cell>
          <cell r="R284" t="str">
            <v>Uva blanca, pulpa</v>
          </cell>
          <cell r="S284">
            <v>90.5</v>
          </cell>
          <cell r="U284" t="str">
            <v>c</v>
          </cell>
        </row>
        <row r="285">
          <cell r="A285">
            <v>471</v>
          </cell>
          <cell r="B285" t="str">
            <v>Uva negra, pulpa</v>
          </cell>
          <cell r="C285" t="str">
            <v>Uva</v>
          </cell>
          <cell r="D285" t="str">
            <v>Negra</v>
          </cell>
          <cell r="F285" t="str">
            <v>Pulpa sin semillas</v>
          </cell>
          <cell r="G285" t="str">
            <v>Madura</v>
          </cell>
          <cell r="H285" t="str">
            <v>Lavado</v>
          </cell>
          <cell r="I285" t="str">
            <v>Extracción de pulpa</v>
          </cell>
          <cell r="M285" t="str">
            <v>Vitis</v>
          </cell>
          <cell r="N285" t="str">
            <v>vinifera L,</v>
          </cell>
          <cell r="O285" t="str">
            <v>Negra</v>
          </cell>
          <cell r="P285" t="str">
            <v>232</v>
          </cell>
          <cell r="Q285" t="str">
            <v>No reporta</v>
          </cell>
          <cell r="R285" t="str">
            <v>Uva negra, pulpa</v>
          </cell>
          <cell r="S285">
            <v>89.2</v>
          </cell>
          <cell r="U285" t="str">
            <v>c</v>
          </cell>
        </row>
        <row r="286">
          <cell r="A286">
            <v>472</v>
          </cell>
          <cell r="B286" t="str">
            <v>Uva pasa</v>
          </cell>
          <cell r="C286" t="str">
            <v>Uva</v>
          </cell>
          <cell r="D286" t="str">
            <v>Seca o pasa</v>
          </cell>
          <cell r="F286" t="str">
            <v>Fruto entero</v>
          </cell>
          <cell r="G286" t="str">
            <v>Madura</v>
          </cell>
          <cell r="H286" t="str">
            <v>Lavado</v>
          </cell>
          <cell r="I286" t="str">
            <v>Secado</v>
          </cell>
          <cell r="M286" t="str">
            <v>Vitus</v>
          </cell>
          <cell r="N286" t="str">
            <v>vinifera</v>
          </cell>
          <cell r="P286" t="str">
            <v>234, 235</v>
          </cell>
          <cell r="R286" t="str">
            <v>Uva pasa</v>
          </cell>
          <cell r="S286">
            <v>20.2</v>
          </cell>
          <cell r="U286" t="str">
            <v>d</v>
          </cell>
        </row>
        <row r="287">
          <cell r="A287">
            <v>473</v>
          </cell>
          <cell r="B287" t="str">
            <v>Yaca</v>
          </cell>
          <cell r="C287" t="str">
            <v>Yaca</v>
          </cell>
          <cell r="F287" t="str">
            <v>Pulpa</v>
          </cell>
          <cell r="H287" t="str">
            <v>Lavado</v>
          </cell>
          <cell r="I287" t="str">
            <v>Extracción de pulpa</v>
          </cell>
          <cell r="L287" t="str">
            <v>Peraleja</v>
          </cell>
          <cell r="M287" t="str">
            <v>Artocarpus</v>
          </cell>
          <cell r="N287" t="str">
            <v>altilis communis</v>
          </cell>
          <cell r="P287" t="str">
            <v>232</v>
          </cell>
          <cell r="Q287" t="str">
            <v>No reporta</v>
          </cell>
          <cell r="R287" t="str">
            <v>Yaca</v>
          </cell>
          <cell r="S287">
            <v>85</v>
          </cell>
          <cell r="U287" t="str">
            <v>d</v>
          </cell>
        </row>
        <row r="288">
          <cell r="A288">
            <v>474</v>
          </cell>
          <cell r="B288" t="str">
            <v>Yaca, semilla</v>
          </cell>
          <cell r="C288" t="str">
            <v>Yaca</v>
          </cell>
          <cell r="F288" t="str">
            <v>Semilla cruda</v>
          </cell>
          <cell r="H288" t="str">
            <v>Lavado</v>
          </cell>
          <cell r="I288" t="str">
            <v>Extracción semilla</v>
          </cell>
          <cell r="L288" t="str">
            <v>Peraleja</v>
          </cell>
          <cell r="M288" t="str">
            <v>Artocarpus</v>
          </cell>
          <cell r="N288" t="str">
            <v>altilis communis</v>
          </cell>
          <cell r="P288" t="str">
            <v>232</v>
          </cell>
          <cell r="Q288" t="str">
            <v>No reporta</v>
          </cell>
          <cell r="R288" t="str">
            <v>Yaca, semilla</v>
          </cell>
          <cell r="S288">
            <v>47.8</v>
          </cell>
          <cell r="U288" t="str">
            <v>d</v>
          </cell>
        </row>
        <row r="289">
          <cell r="A289">
            <v>475</v>
          </cell>
          <cell r="B289" t="str">
            <v>Zapote</v>
          </cell>
          <cell r="C289" t="str">
            <v>Zapote</v>
          </cell>
          <cell r="F289" t="str">
            <v>Pulpa sin semillas</v>
          </cell>
          <cell r="H289" t="str">
            <v>Lavado</v>
          </cell>
          <cell r="I289" t="str">
            <v>Extracción de pulpa</v>
          </cell>
          <cell r="M289" t="str">
            <v>Matisia (Pouteria)</v>
          </cell>
          <cell r="N289" t="str">
            <v>cordata</v>
          </cell>
          <cell r="P289" t="str">
            <v>232</v>
          </cell>
          <cell r="Q289" t="str">
            <v>No reporta</v>
          </cell>
          <cell r="R289" t="str">
            <v>Zapote</v>
          </cell>
          <cell r="S289">
            <v>85.1</v>
          </cell>
          <cell r="U289" t="str">
            <v>c</v>
          </cell>
        </row>
        <row r="290">
          <cell r="A290">
            <v>476</v>
          </cell>
          <cell r="B290" t="str">
            <v>Zapote caucano</v>
          </cell>
          <cell r="C290" t="str">
            <v>Zapote</v>
          </cell>
          <cell r="D290" t="str">
            <v>Caucana</v>
          </cell>
          <cell r="F290" t="str">
            <v>Pulpa</v>
          </cell>
          <cell r="G290" t="str">
            <v>Maduro</v>
          </cell>
          <cell r="H290" t="str">
            <v>Lavado</v>
          </cell>
          <cell r="I290" t="str">
            <v>Extracción de pulpa</v>
          </cell>
          <cell r="M290" t="str">
            <v>Matissia</v>
          </cell>
          <cell r="N290" t="str">
            <v>cordata</v>
          </cell>
          <cell r="P290" t="str">
            <v>12</v>
          </cell>
          <cell r="Q290" t="str">
            <v>No reporta</v>
          </cell>
          <cell r="R290" t="str">
            <v>Zapote caucano</v>
          </cell>
          <cell r="S290">
            <v>87.2</v>
          </cell>
          <cell r="U290" t="str">
            <v>c</v>
          </cell>
        </row>
        <row r="291">
          <cell r="A291">
            <v>477</v>
          </cell>
          <cell r="B291" t="str">
            <v>Zapote ecuatoriano</v>
          </cell>
          <cell r="C291" t="str">
            <v>Zapote</v>
          </cell>
          <cell r="D291" t="str">
            <v>Ecuatoriano</v>
          </cell>
          <cell r="F291" t="str">
            <v>Pulpa</v>
          </cell>
          <cell r="G291" t="str">
            <v>Maduro</v>
          </cell>
          <cell r="H291" t="str">
            <v>Lavado</v>
          </cell>
          <cell r="I291" t="str">
            <v>Extracción de pulpa</v>
          </cell>
          <cell r="M291" t="str">
            <v>Matissia</v>
          </cell>
          <cell r="N291" t="str">
            <v>cordata</v>
          </cell>
          <cell r="O291" t="str">
            <v>Ecuatoriano</v>
          </cell>
          <cell r="P291" t="str">
            <v>12</v>
          </cell>
          <cell r="Q291" t="str">
            <v>No reporta</v>
          </cell>
          <cell r="R291" t="str">
            <v>Zapote ecuatoriano</v>
          </cell>
          <cell r="S291">
            <v>87.4</v>
          </cell>
          <cell r="U291" t="str">
            <v>c</v>
          </cell>
        </row>
        <row r="292">
          <cell r="A292">
            <v>484</v>
          </cell>
          <cell r="B292" t="str">
            <v>Aceite de girasol</v>
          </cell>
          <cell r="C292" t="str">
            <v>Aceite</v>
          </cell>
          <cell r="D292" t="str">
            <v>Girasol</v>
          </cell>
          <cell r="H292" t="str">
            <v>Limpieza</v>
          </cell>
          <cell r="I292" t="str">
            <v>Extracción</v>
          </cell>
          <cell r="J292" t="str">
            <v>Refinado</v>
          </cell>
          <cell r="M292" t="str">
            <v>Helianthus</v>
          </cell>
          <cell r="N292" t="str">
            <v>annus</v>
          </cell>
          <cell r="P292" t="str">
            <v>196</v>
          </cell>
          <cell r="R292" t="str">
            <v>Aceite de girasol</v>
          </cell>
          <cell r="S292">
            <v>0</v>
          </cell>
          <cell r="U292" t="str">
            <v>b</v>
          </cell>
        </row>
        <row r="293">
          <cell r="A293">
            <v>487</v>
          </cell>
          <cell r="B293" t="str">
            <v>Aceite de maíz</v>
          </cell>
          <cell r="C293" t="str">
            <v>Aceite</v>
          </cell>
          <cell r="D293" t="str">
            <v>Maíz</v>
          </cell>
          <cell r="H293" t="str">
            <v>Limpieza</v>
          </cell>
          <cell r="I293" t="str">
            <v>Extracción</v>
          </cell>
          <cell r="J293" t="str">
            <v>Refinado</v>
          </cell>
          <cell r="M293" t="str">
            <v>Zea</v>
          </cell>
          <cell r="N293" t="str">
            <v>mays L</v>
          </cell>
          <cell r="P293" t="str">
            <v>196</v>
          </cell>
          <cell r="R293" t="str">
            <v>Aceite de maíz</v>
          </cell>
          <cell r="S293">
            <v>0</v>
          </cell>
          <cell r="U293" t="str">
            <v>b</v>
          </cell>
        </row>
        <row r="294">
          <cell r="A294">
            <v>490</v>
          </cell>
          <cell r="B294" t="str">
            <v>Aceite de oliva</v>
          </cell>
          <cell r="C294" t="str">
            <v>Aceite</v>
          </cell>
          <cell r="D294" t="str">
            <v>Oliva</v>
          </cell>
          <cell r="H294" t="str">
            <v>Limpieza</v>
          </cell>
          <cell r="I294" t="str">
            <v>Extracción</v>
          </cell>
          <cell r="J294" t="str">
            <v>Refinado</v>
          </cell>
          <cell r="M294" t="str">
            <v>Olea</v>
          </cell>
          <cell r="N294" t="str">
            <v>europea L</v>
          </cell>
          <cell r="P294" t="str">
            <v>196</v>
          </cell>
          <cell r="R294" t="str">
            <v>Aceite de oliva</v>
          </cell>
          <cell r="S294">
            <v>0</v>
          </cell>
          <cell r="U294" t="str">
            <v>b</v>
          </cell>
        </row>
        <row r="295">
          <cell r="A295">
            <v>492</v>
          </cell>
          <cell r="B295" t="str">
            <v>Aceite de palma africana</v>
          </cell>
          <cell r="C295" t="str">
            <v>Aceite</v>
          </cell>
          <cell r="D295" t="str">
            <v>Palma</v>
          </cell>
          <cell r="F295" t="str">
            <v>Fruto</v>
          </cell>
          <cell r="H295" t="str">
            <v>Limpieza</v>
          </cell>
          <cell r="I295" t="str">
            <v>Extracción</v>
          </cell>
          <cell r="J295" t="str">
            <v>Refinado</v>
          </cell>
          <cell r="M295" t="str">
            <v>Elaeis</v>
          </cell>
          <cell r="N295" t="str">
            <v>guineensis</v>
          </cell>
          <cell r="P295" t="str">
            <v>195</v>
          </cell>
          <cell r="R295" t="str">
            <v>Aceite de palma</v>
          </cell>
          <cell r="S295">
            <v>0</v>
          </cell>
          <cell r="U295" t="str">
            <v>b</v>
          </cell>
        </row>
        <row r="296">
          <cell r="A296">
            <v>517</v>
          </cell>
          <cell r="B296" t="str">
            <v>Aceite de soya</v>
          </cell>
          <cell r="C296" t="str">
            <v>Aceite</v>
          </cell>
          <cell r="D296" t="str">
            <v>Soya</v>
          </cell>
          <cell r="H296" t="str">
            <v>Limpieza</v>
          </cell>
          <cell r="I296" t="str">
            <v>Extracción</v>
          </cell>
          <cell r="J296" t="str">
            <v>Refinado</v>
          </cell>
          <cell r="M296" t="str">
            <v>Glycine</v>
          </cell>
          <cell r="N296" t="str">
            <v>max L,</v>
          </cell>
          <cell r="P296" t="str">
            <v>196</v>
          </cell>
          <cell r="R296" t="str">
            <v>Aceite de soya</v>
          </cell>
          <cell r="S296">
            <v>0</v>
          </cell>
          <cell r="U296" t="str">
            <v>b</v>
          </cell>
        </row>
        <row r="297">
          <cell r="A297">
            <v>523</v>
          </cell>
          <cell r="B297" t="str">
            <v>Aceite vegetal</v>
          </cell>
          <cell r="C297" t="str">
            <v>Aceite</v>
          </cell>
          <cell r="D297" t="str">
            <v>Vegetal</v>
          </cell>
          <cell r="H297" t="str">
            <v>Extracción</v>
          </cell>
          <cell r="I297" t="str">
            <v>Refinado</v>
          </cell>
          <cell r="P297" t="str">
            <v>232</v>
          </cell>
          <cell r="Q297" t="str">
            <v>No reporta</v>
          </cell>
          <cell r="R297" t="str">
            <v>Aceite vegetal</v>
          </cell>
          <cell r="S297">
            <v>0</v>
          </cell>
          <cell r="U297" t="str">
            <v>c</v>
          </cell>
        </row>
        <row r="298">
          <cell r="A298">
            <v>526</v>
          </cell>
          <cell r="B298" t="str">
            <v>Grasa vegetal alimenticia</v>
          </cell>
          <cell r="C298" t="str">
            <v>Grasa</v>
          </cell>
          <cell r="D298" t="str">
            <v>Vegetal</v>
          </cell>
          <cell r="H298" t="str">
            <v>Extracción</v>
          </cell>
          <cell r="P298" t="str">
            <v>232</v>
          </cell>
          <cell r="Q298" t="str">
            <v>No reporta</v>
          </cell>
          <cell r="R298" t="str">
            <v>Grasa vegetal alimenticia</v>
          </cell>
          <cell r="S298">
            <v>1</v>
          </cell>
          <cell r="U298" t="str">
            <v>c</v>
          </cell>
        </row>
        <row r="299">
          <cell r="A299">
            <v>527</v>
          </cell>
          <cell r="B299" t="str">
            <v>Manteca de cerdo</v>
          </cell>
          <cell r="C299" t="str">
            <v>Manteca</v>
          </cell>
          <cell r="D299" t="str">
            <v>De cerdo</v>
          </cell>
          <cell r="H299" t="str">
            <v>Extracción</v>
          </cell>
          <cell r="M299" t="str">
            <v>Sus</v>
          </cell>
          <cell r="N299" t="str">
            <v>scrofa</v>
          </cell>
          <cell r="P299" t="str">
            <v>232</v>
          </cell>
          <cell r="Q299" t="str">
            <v>No reporta</v>
          </cell>
          <cell r="R299" t="str">
            <v>Manteca de cerdo</v>
          </cell>
          <cell r="S299">
            <v>1</v>
          </cell>
          <cell r="U299" t="str">
            <v>c</v>
          </cell>
        </row>
        <row r="300">
          <cell r="A300">
            <v>528</v>
          </cell>
          <cell r="B300" t="str">
            <v>Mantequilla de maní</v>
          </cell>
          <cell r="C300" t="str">
            <v>Mantequilla</v>
          </cell>
          <cell r="D300" t="str">
            <v>De maní</v>
          </cell>
          <cell r="H300" t="str">
            <v>Extracción grasa</v>
          </cell>
          <cell r="I300" t="str">
            <v>Homogenización</v>
          </cell>
          <cell r="J300" t="str">
            <v>Empaque</v>
          </cell>
          <cell r="K300" t="str">
            <v>Esterilización</v>
          </cell>
          <cell r="M300" t="str">
            <v>Arachis</v>
          </cell>
          <cell r="N300" t="str">
            <v>hypogaea</v>
          </cell>
          <cell r="P300" t="str">
            <v>234, 235</v>
          </cell>
          <cell r="R300" t="str">
            <v>Mantequilla de maní</v>
          </cell>
          <cell r="S300">
            <v>1.4</v>
          </cell>
          <cell r="U300" t="str">
            <v>d</v>
          </cell>
        </row>
        <row r="301">
          <cell r="A301">
            <v>529</v>
          </cell>
          <cell r="B301" t="str">
            <v>Mantequilla sin sal</v>
          </cell>
          <cell r="C301" t="str">
            <v>Mantequilla</v>
          </cell>
          <cell r="D301" t="str">
            <v>Sin sal</v>
          </cell>
          <cell r="H301" t="str">
            <v>Pasteurizado</v>
          </cell>
          <cell r="I301" t="str">
            <v>Centrifugación</v>
          </cell>
          <cell r="J301" t="str">
            <v>Sedimentación en frío</v>
          </cell>
          <cell r="K301" t="str">
            <v>Empaque</v>
          </cell>
          <cell r="P301" t="str">
            <v>232</v>
          </cell>
          <cell r="Q301" t="str">
            <v>No reporta</v>
          </cell>
          <cell r="R301" t="str">
            <v>Mantequilla sin sal</v>
          </cell>
          <cell r="S301">
            <v>15.6</v>
          </cell>
          <cell r="U301" t="str">
            <v>c</v>
          </cell>
        </row>
        <row r="302">
          <cell r="A302">
            <v>530</v>
          </cell>
          <cell r="B302" t="str">
            <v>Margarina</v>
          </cell>
          <cell r="C302" t="str">
            <v>Margarina</v>
          </cell>
          <cell r="H302" t="str">
            <v>Extracción aceite vegetal</v>
          </cell>
          <cell r="I302" t="str">
            <v>Hidrogenación</v>
          </cell>
          <cell r="J302" t="str">
            <v>Prensado</v>
          </cell>
          <cell r="P302" t="str">
            <v>232</v>
          </cell>
          <cell r="Q302" t="str">
            <v>No reporta</v>
          </cell>
          <cell r="R302" t="str">
            <v>Margarina</v>
          </cell>
          <cell r="S302">
            <v>15.5</v>
          </cell>
          <cell r="U302" t="str">
            <v>c</v>
          </cell>
        </row>
        <row r="303">
          <cell r="A303">
            <v>533</v>
          </cell>
          <cell r="B303" t="str">
            <v>Margarina enriquecida</v>
          </cell>
          <cell r="C303" t="str">
            <v>Margarina</v>
          </cell>
          <cell r="D303" t="str">
            <v>Enriquecida</v>
          </cell>
          <cell r="H303" t="str">
            <v>Extracción aceite vegetal</v>
          </cell>
          <cell r="I303" t="str">
            <v>Hidrogenación</v>
          </cell>
          <cell r="J303" t="str">
            <v>Enriquecimiento</v>
          </cell>
          <cell r="K303" t="str">
            <v>Prensado</v>
          </cell>
          <cell r="P303" t="str">
            <v>232</v>
          </cell>
          <cell r="Q303" t="str">
            <v>No reporta</v>
          </cell>
          <cell r="R303" t="str">
            <v>Margarina enriquecida</v>
          </cell>
          <cell r="S303">
            <v>15.5</v>
          </cell>
          <cell r="U303" t="str">
            <v>c</v>
          </cell>
        </row>
        <row r="304">
          <cell r="A304">
            <v>534</v>
          </cell>
          <cell r="B304" t="str">
            <v>Mayonesa comercial con sal</v>
          </cell>
          <cell r="C304" t="str">
            <v>Mayonesa</v>
          </cell>
          <cell r="D304" t="str">
            <v>Con sal</v>
          </cell>
          <cell r="H304" t="str">
            <v>Homogenización</v>
          </cell>
          <cell r="I304" t="str">
            <v>Tratamiento térmico</v>
          </cell>
          <cell r="R304" t="str">
            <v>Mayonesa comercial con sal</v>
          </cell>
          <cell r="S304">
            <v>39.9</v>
          </cell>
          <cell r="U304" t="str">
            <v>d</v>
          </cell>
        </row>
        <row r="305">
          <cell r="A305">
            <v>537</v>
          </cell>
          <cell r="B305" t="str">
            <v>Atún, enlatado con aceite</v>
          </cell>
          <cell r="C305" t="str">
            <v>Atún</v>
          </cell>
          <cell r="D305" t="str">
            <v>En aceite</v>
          </cell>
          <cell r="F305" t="str">
            <v>Contenido total</v>
          </cell>
          <cell r="H305" t="str">
            <v>Limpieza</v>
          </cell>
          <cell r="I305" t="str">
            <v>Desviscerado</v>
          </cell>
          <cell r="J305" t="str">
            <v>Cocido</v>
          </cell>
          <cell r="K305" t="str">
            <v>Envasado en aceite</v>
          </cell>
          <cell r="M305" t="str">
            <v>Thynnus</v>
          </cell>
          <cell r="N305" t="str">
            <v>vulgaris</v>
          </cell>
          <cell r="P305" t="str">
            <v>232</v>
          </cell>
          <cell r="Q305" t="str">
            <v>No reporta</v>
          </cell>
          <cell r="R305" t="str">
            <v>Atún, enlatado con aceite</v>
          </cell>
          <cell r="S305">
            <v>55.4</v>
          </cell>
          <cell r="U305" t="str">
            <v>c</v>
          </cell>
        </row>
        <row r="306">
          <cell r="A306">
            <v>538</v>
          </cell>
          <cell r="B306" t="str">
            <v>Atún, enlatado con agua</v>
          </cell>
          <cell r="C306" t="str">
            <v>Atún</v>
          </cell>
          <cell r="D306" t="str">
            <v>En agua</v>
          </cell>
          <cell r="F306" t="str">
            <v>Carne</v>
          </cell>
          <cell r="H306" t="str">
            <v>Limpieza</v>
          </cell>
          <cell r="I306" t="str">
            <v>Desviscerado</v>
          </cell>
          <cell r="J306" t="str">
            <v>Cocido</v>
          </cell>
          <cell r="K306" t="str">
            <v>Envasado en agua</v>
          </cell>
          <cell r="M306" t="str">
            <v>Thynnus</v>
          </cell>
          <cell r="N306" t="str">
            <v>vulgaris</v>
          </cell>
          <cell r="P306" t="str">
            <v>234, 235</v>
          </cell>
          <cell r="R306" t="str">
            <v>Atún, enlatado con agua</v>
          </cell>
          <cell r="S306">
            <v>70</v>
          </cell>
          <cell r="U306" t="str">
            <v>d</v>
          </cell>
        </row>
        <row r="307">
          <cell r="A307">
            <v>539</v>
          </cell>
          <cell r="B307" t="str">
            <v>Bagre</v>
          </cell>
          <cell r="C307" t="str">
            <v>Pescado</v>
          </cell>
          <cell r="D307" t="str">
            <v>Bagre</v>
          </cell>
          <cell r="F307" t="str">
            <v>Carne</v>
          </cell>
          <cell r="H307" t="str">
            <v>Desviscerado</v>
          </cell>
          <cell r="I307" t="str">
            <v>Troceado</v>
          </cell>
          <cell r="M307" t="str">
            <v>Pseudopimelodus</v>
          </cell>
          <cell r="N307" t="str">
            <v>fasciatum</v>
          </cell>
          <cell r="O307" t="str">
            <v>Lacepede</v>
          </cell>
          <cell r="P307" t="str">
            <v>232</v>
          </cell>
          <cell r="Q307" t="str">
            <v>No reporta</v>
          </cell>
          <cell r="R307" t="str">
            <v>Bagre</v>
          </cell>
          <cell r="S307">
            <v>68.900000000000006</v>
          </cell>
          <cell r="U307" t="str">
            <v>c</v>
          </cell>
        </row>
        <row r="308">
          <cell r="A308">
            <v>543</v>
          </cell>
          <cell r="B308" t="str">
            <v>Bagre seco</v>
          </cell>
          <cell r="C308" t="str">
            <v>Pescado</v>
          </cell>
          <cell r="D308" t="str">
            <v>Bagre</v>
          </cell>
          <cell r="E308" t="str">
            <v>Seco</v>
          </cell>
          <cell r="F308" t="str">
            <v>Carne sin piel</v>
          </cell>
          <cell r="H308" t="str">
            <v>Desviscerado</v>
          </cell>
          <cell r="I308" t="str">
            <v>Troceado</v>
          </cell>
          <cell r="J308" t="str">
            <v>Secado al sol</v>
          </cell>
          <cell r="M308" t="str">
            <v>Pseudopimelodus</v>
          </cell>
          <cell r="N308" t="str">
            <v>fasciatum</v>
          </cell>
          <cell r="O308" t="str">
            <v>Lacepede</v>
          </cell>
          <cell r="P308" t="str">
            <v>232</v>
          </cell>
          <cell r="Q308" t="str">
            <v>No reporta</v>
          </cell>
          <cell r="R308" t="str">
            <v>Bagre seco</v>
          </cell>
          <cell r="S308">
            <v>45.1</v>
          </cell>
          <cell r="U308" t="str">
            <v>c</v>
          </cell>
        </row>
        <row r="309">
          <cell r="A309">
            <v>544</v>
          </cell>
          <cell r="B309" t="str">
            <v>Bocachico</v>
          </cell>
          <cell r="C309" t="str">
            <v>Pescado</v>
          </cell>
          <cell r="D309" t="str">
            <v>Bocachico</v>
          </cell>
          <cell r="F309" t="str">
            <v>Carne</v>
          </cell>
          <cell r="H309" t="str">
            <v>Limpieza y desviscerado</v>
          </cell>
          <cell r="I309" t="str">
            <v>Cortado y deshuesado</v>
          </cell>
          <cell r="J309" t="str">
            <v>Molido y Congelado</v>
          </cell>
          <cell r="M309" t="str">
            <v>Prochilodus</v>
          </cell>
          <cell r="N309" t="str">
            <v>reticulatos magdalenae</v>
          </cell>
          <cell r="P309" t="str">
            <v>256</v>
          </cell>
          <cell r="Q309" t="str">
            <v>Barrancabermeja</v>
          </cell>
          <cell r="R309" t="str">
            <v>Bocachico</v>
          </cell>
          <cell r="S309">
            <v>79.400000000000006</v>
          </cell>
          <cell r="U309" t="str">
            <v>c</v>
          </cell>
        </row>
        <row r="310">
          <cell r="A310">
            <v>546</v>
          </cell>
          <cell r="B310" t="str">
            <v>Bocachico</v>
          </cell>
          <cell r="C310" t="str">
            <v>Pescado</v>
          </cell>
          <cell r="D310" t="str">
            <v>Bocachico</v>
          </cell>
          <cell r="F310" t="str">
            <v>Carne</v>
          </cell>
          <cell r="H310" t="str">
            <v>Desviscerado</v>
          </cell>
          <cell r="I310" t="str">
            <v>Troceado</v>
          </cell>
          <cell r="M310" t="str">
            <v>Prochilodus</v>
          </cell>
          <cell r="N310" t="str">
            <v>reticulatos magdalenae</v>
          </cell>
          <cell r="P310" t="str">
            <v>42, 188, 205</v>
          </cell>
          <cell r="Q310" t="str">
            <v>No reporta</v>
          </cell>
          <cell r="R310" t="str">
            <v>Bocachico</v>
          </cell>
          <cell r="S310">
            <v>77.8</v>
          </cell>
          <cell r="T310">
            <v>2.2999999999999998</v>
          </cell>
          <cell r="U310" t="str">
            <v>b</v>
          </cell>
        </row>
        <row r="311">
          <cell r="A311">
            <v>547</v>
          </cell>
          <cell r="B311" t="str">
            <v>Bocachico</v>
          </cell>
          <cell r="C311" t="str">
            <v>Pescado</v>
          </cell>
          <cell r="D311" t="str">
            <v>Bocachico</v>
          </cell>
          <cell r="F311" t="str">
            <v>Carne</v>
          </cell>
          <cell r="H311" t="str">
            <v>Limpieza y desviscerado</v>
          </cell>
          <cell r="I311" t="str">
            <v>Cortado y deshuesado</v>
          </cell>
          <cell r="J311" t="str">
            <v>Molido y Refrigerado</v>
          </cell>
          <cell r="M311" t="str">
            <v>Prochilodus</v>
          </cell>
          <cell r="N311" t="str">
            <v>reticulatos magdalenae</v>
          </cell>
          <cell r="P311" t="str">
            <v>256</v>
          </cell>
          <cell r="Q311" t="str">
            <v>Barrancabermeja</v>
          </cell>
          <cell r="R311" t="str">
            <v>Bocachico</v>
          </cell>
          <cell r="S311">
            <v>73.7</v>
          </cell>
          <cell r="U311" t="str">
            <v>c</v>
          </cell>
        </row>
        <row r="312">
          <cell r="A312">
            <v>548</v>
          </cell>
          <cell r="B312" t="str">
            <v>Bocachico, salado</v>
          </cell>
          <cell r="C312" t="str">
            <v>Pescado</v>
          </cell>
          <cell r="D312" t="str">
            <v>Bocachico</v>
          </cell>
          <cell r="F312" t="str">
            <v>Sin cabeza y sin vísceras</v>
          </cell>
          <cell r="H312" t="str">
            <v>Limpieza y desviscerado</v>
          </cell>
          <cell r="I312" t="str">
            <v>Descabezado</v>
          </cell>
          <cell r="J312" t="str">
            <v>Salado</v>
          </cell>
          <cell r="M312" t="str">
            <v>Prochilodus</v>
          </cell>
          <cell r="N312" t="str">
            <v>reticulatos magdalenae</v>
          </cell>
          <cell r="P312" t="str">
            <v>42</v>
          </cell>
          <cell r="Q312" t="str">
            <v>El Banco (Magdalena)</v>
          </cell>
          <cell r="R312" t="str">
            <v>Bocachico, salado</v>
          </cell>
          <cell r="S312">
            <v>47.3</v>
          </cell>
          <cell r="U312" t="str">
            <v>c</v>
          </cell>
        </row>
        <row r="313">
          <cell r="A313">
            <v>560</v>
          </cell>
          <cell r="B313" t="str">
            <v>Corvina</v>
          </cell>
          <cell r="C313" t="str">
            <v>Pescado</v>
          </cell>
          <cell r="D313" t="str">
            <v>Corvina</v>
          </cell>
          <cell r="F313" t="str">
            <v>Carne</v>
          </cell>
          <cell r="H313" t="str">
            <v>Descamado</v>
          </cell>
          <cell r="I313" t="str">
            <v>Desviscerado</v>
          </cell>
          <cell r="M313" t="str">
            <v>Micropogonias</v>
          </cell>
          <cell r="N313" t="str">
            <v>undulatus</v>
          </cell>
          <cell r="P313" t="str">
            <v>234, 235</v>
          </cell>
          <cell r="R313" t="str">
            <v>Corvina</v>
          </cell>
          <cell r="S313">
            <v>78.2</v>
          </cell>
          <cell r="U313" t="str">
            <v>d</v>
          </cell>
        </row>
        <row r="314">
          <cell r="A314">
            <v>581</v>
          </cell>
          <cell r="B314" t="str">
            <v>Pescado de río</v>
          </cell>
          <cell r="C314" t="str">
            <v>Pescado</v>
          </cell>
          <cell r="D314" t="str">
            <v>De río</v>
          </cell>
          <cell r="F314" t="str">
            <v>Carne</v>
          </cell>
          <cell r="H314" t="str">
            <v>Limpieza</v>
          </cell>
          <cell r="I314" t="str">
            <v>Desviscerado</v>
          </cell>
          <cell r="M314" t="str">
            <v>Prochilodus</v>
          </cell>
          <cell r="N314" t="str">
            <v>magdalenae (Steindachner)</v>
          </cell>
          <cell r="P314" t="str">
            <v>232</v>
          </cell>
          <cell r="Q314" t="str">
            <v>No reporta</v>
          </cell>
          <cell r="R314" t="str">
            <v>Pescado de río</v>
          </cell>
          <cell r="S314">
            <v>78.400000000000006</v>
          </cell>
          <cell r="U314" t="str">
            <v>c</v>
          </cell>
        </row>
        <row r="315">
          <cell r="A315">
            <v>582</v>
          </cell>
          <cell r="B315" t="str">
            <v>Pescado sierra</v>
          </cell>
          <cell r="C315" t="str">
            <v>Pescado</v>
          </cell>
          <cell r="D315" t="str">
            <v>Sierra</v>
          </cell>
          <cell r="F315" t="str">
            <v>Carne</v>
          </cell>
          <cell r="H315" t="str">
            <v>Limpieza</v>
          </cell>
          <cell r="I315" t="str">
            <v>Desviscerado</v>
          </cell>
          <cell r="M315" t="str">
            <v>Scomberomorus</v>
          </cell>
          <cell r="N315" t="str">
            <v>maculatus mitchill</v>
          </cell>
          <cell r="P315" t="str">
            <v>234, 235</v>
          </cell>
          <cell r="R315" t="str">
            <v>Pescado sierra</v>
          </cell>
          <cell r="S315">
            <v>72.3</v>
          </cell>
          <cell r="U315" t="str">
            <v>d</v>
          </cell>
        </row>
        <row r="316">
          <cell r="A316">
            <v>606</v>
          </cell>
          <cell r="B316" t="str">
            <v>Carne de cerdo, brazo</v>
          </cell>
          <cell r="C316" t="str">
            <v>Carne</v>
          </cell>
          <cell r="D316" t="str">
            <v>Brazo de cerdo</v>
          </cell>
          <cell r="F316" t="str">
            <v>Brazo</v>
          </cell>
          <cell r="H316" t="str">
            <v>Limpieza</v>
          </cell>
          <cell r="I316" t="str">
            <v>Troceado</v>
          </cell>
          <cell r="M316" t="str">
            <v>Sus</v>
          </cell>
          <cell r="N316" t="str">
            <v>scrofa</v>
          </cell>
          <cell r="P316" t="str">
            <v>Industria</v>
          </cell>
          <cell r="R316" t="str">
            <v>Carne de cerdo, brazo</v>
          </cell>
          <cell r="S316">
            <v>68.400000000000006</v>
          </cell>
          <cell r="T316">
            <v>0.6</v>
          </cell>
          <cell r="U316" t="str">
            <v>a</v>
          </cell>
        </row>
        <row r="317">
          <cell r="A317">
            <v>607</v>
          </cell>
          <cell r="B317" t="str">
            <v>Carne de cerdo, brazo cocido</v>
          </cell>
          <cell r="C317" t="str">
            <v>Carne</v>
          </cell>
          <cell r="D317" t="str">
            <v>Brazo de cerdo</v>
          </cell>
          <cell r="F317" t="str">
            <v>Brazo</v>
          </cell>
          <cell r="H317" t="str">
            <v>Limpieza</v>
          </cell>
          <cell r="I317" t="str">
            <v>Troceado</v>
          </cell>
          <cell r="J317" t="str">
            <v>Cocido al vapor</v>
          </cell>
          <cell r="M317" t="str">
            <v>Sus</v>
          </cell>
          <cell r="N317" t="str">
            <v>scrofa</v>
          </cell>
          <cell r="P317" t="str">
            <v>Industria</v>
          </cell>
          <cell r="R317" t="str">
            <v>Carne de cerdo, brazo cocido</v>
          </cell>
          <cell r="S317">
            <v>62</v>
          </cell>
          <cell r="T317">
            <v>0.8</v>
          </cell>
          <cell r="U317" t="str">
            <v>a</v>
          </cell>
        </row>
        <row r="318">
          <cell r="A318">
            <v>608</v>
          </cell>
          <cell r="B318" t="str">
            <v>Carne de cerdo, brazo horneado</v>
          </cell>
          <cell r="C318" t="str">
            <v>Carne</v>
          </cell>
          <cell r="D318" t="str">
            <v>Brazo de cerdo</v>
          </cell>
          <cell r="F318" t="str">
            <v>Brazo</v>
          </cell>
          <cell r="H318" t="str">
            <v>Limpieza</v>
          </cell>
          <cell r="I318" t="str">
            <v>Troceado</v>
          </cell>
          <cell r="J318" t="str">
            <v>Horneado</v>
          </cell>
          <cell r="M318" t="str">
            <v>Sus</v>
          </cell>
          <cell r="N318" t="str">
            <v>scrofa</v>
          </cell>
          <cell r="P318" t="str">
            <v>Industria</v>
          </cell>
          <cell r="R318" t="str">
            <v>Carne de cerdo, brazo horneado</v>
          </cell>
          <cell r="S318">
            <v>63.5</v>
          </cell>
          <cell r="T318">
            <v>0.1</v>
          </cell>
          <cell r="U318" t="str">
            <v>a</v>
          </cell>
        </row>
        <row r="319">
          <cell r="A319">
            <v>615</v>
          </cell>
          <cell r="B319" t="str">
            <v>Carne de cerdo, lomo</v>
          </cell>
          <cell r="C319" t="str">
            <v>Carne</v>
          </cell>
          <cell r="D319" t="str">
            <v>Lomo de cerdo</v>
          </cell>
          <cell r="F319" t="str">
            <v>Lomo</v>
          </cell>
          <cell r="H319" t="str">
            <v>Limpieza</v>
          </cell>
          <cell r="I319" t="str">
            <v>Troceado</v>
          </cell>
          <cell r="M319" t="str">
            <v>Sus</v>
          </cell>
          <cell r="N319" t="str">
            <v>scrofa</v>
          </cell>
          <cell r="P319" t="str">
            <v>Industria</v>
          </cell>
          <cell r="R319" t="str">
            <v>Carne de cerdo, lomo</v>
          </cell>
          <cell r="S319">
            <v>68</v>
          </cell>
          <cell r="T319">
            <v>0.3</v>
          </cell>
          <cell r="U319" t="str">
            <v>a</v>
          </cell>
        </row>
        <row r="320">
          <cell r="A320">
            <v>616</v>
          </cell>
          <cell r="B320" t="str">
            <v>Carne de cerdo, lomo cocido</v>
          </cell>
          <cell r="C320" t="str">
            <v>Carne</v>
          </cell>
          <cell r="D320" t="str">
            <v>Lomo de cerdo</v>
          </cell>
          <cell r="F320" t="str">
            <v>Lomo</v>
          </cell>
          <cell r="H320" t="str">
            <v>Limpieza</v>
          </cell>
          <cell r="I320" t="str">
            <v>Troceado</v>
          </cell>
          <cell r="J320" t="str">
            <v>Cocido al vapor</v>
          </cell>
          <cell r="M320" t="str">
            <v>Sus</v>
          </cell>
          <cell r="N320" t="str">
            <v>scrofa</v>
          </cell>
          <cell r="P320" t="str">
            <v>Industria</v>
          </cell>
          <cell r="R320" t="str">
            <v>Carne de cerdo, lomo cocido</v>
          </cell>
          <cell r="S320">
            <v>60.2</v>
          </cell>
          <cell r="T320">
            <v>0.3</v>
          </cell>
          <cell r="U320" t="str">
            <v>a</v>
          </cell>
        </row>
        <row r="321">
          <cell r="A321">
            <v>617</v>
          </cell>
          <cell r="B321" t="str">
            <v>Carne de cerdo, lomo horneado</v>
          </cell>
          <cell r="C321" t="str">
            <v>Carne</v>
          </cell>
          <cell r="D321" t="str">
            <v>Lomo de cerdo</v>
          </cell>
          <cell r="F321" t="str">
            <v>Lomo</v>
          </cell>
          <cell r="H321" t="str">
            <v>Limpieza</v>
          </cell>
          <cell r="I321" t="str">
            <v>Troceado</v>
          </cell>
          <cell r="J321" t="str">
            <v>Horneado</v>
          </cell>
          <cell r="M321" t="str">
            <v>Sus</v>
          </cell>
          <cell r="N321" t="str">
            <v>scrofa</v>
          </cell>
          <cell r="P321" t="str">
            <v>Industria</v>
          </cell>
          <cell r="R321" t="str">
            <v>Carne de cerdo, lomo horneado</v>
          </cell>
          <cell r="S321">
            <v>60.4</v>
          </cell>
          <cell r="T321">
            <v>0.2</v>
          </cell>
          <cell r="U321" t="str">
            <v>a</v>
          </cell>
        </row>
        <row r="322">
          <cell r="A322">
            <v>618</v>
          </cell>
          <cell r="B322" t="str">
            <v>Carne de cerdo, magra</v>
          </cell>
          <cell r="C322" t="str">
            <v>Carne</v>
          </cell>
          <cell r="D322" t="str">
            <v>Magra de Cerdo</v>
          </cell>
          <cell r="E322" t="str">
            <v>Carne magra</v>
          </cell>
          <cell r="H322" t="str">
            <v>Limpieza</v>
          </cell>
          <cell r="I322" t="str">
            <v>Troceado</v>
          </cell>
          <cell r="M322" t="str">
            <v>Sus</v>
          </cell>
          <cell r="N322" t="str">
            <v>scrofa</v>
          </cell>
          <cell r="P322" t="str">
            <v>232, 239</v>
          </cell>
          <cell r="Q322" t="str">
            <v>No reporta</v>
          </cell>
          <cell r="R322" t="str">
            <v>Carne de cerdo, magra</v>
          </cell>
          <cell r="S322">
            <v>64.3</v>
          </cell>
          <cell r="T322">
            <v>6</v>
          </cell>
          <cell r="U322" t="str">
            <v>c</v>
          </cell>
        </row>
        <row r="323">
          <cell r="A323">
            <v>624</v>
          </cell>
          <cell r="B323" t="str">
            <v>Carne de cerdo, pierna</v>
          </cell>
          <cell r="C323" t="str">
            <v>Carne</v>
          </cell>
          <cell r="D323" t="str">
            <v>Pierna de cerdo</v>
          </cell>
          <cell r="F323" t="str">
            <v>Pierna</v>
          </cell>
          <cell r="H323" t="str">
            <v>Limpieza</v>
          </cell>
          <cell r="I323" t="str">
            <v>Troceado</v>
          </cell>
          <cell r="M323" t="str">
            <v>Sus</v>
          </cell>
          <cell r="N323" t="str">
            <v>scrofa</v>
          </cell>
          <cell r="P323" t="str">
            <v>Industria</v>
          </cell>
          <cell r="R323" t="str">
            <v>Carne de cerdo, pierna</v>
          </cell>
          <cell r="S323">
            <v>71.599999999999994</v>
          </cell>
          <cell r="T323">
            <v>0.2</v>
          </cell>
          <cell r="U323" t="str">
            <v>a</v>
          </cell>
        </row>
        <row r="324">
          <cell r="A324">
            <v>625</v>
          </cell>
          <cell r="B324" t="str">
            <v>Carne de cerdo, pierna cocida</v>
          </cell>
          <cell r="C324" t="str">
            <v>Carne</v>
          </cell>
          <cell r="D324" t="str">
            <v>Pierna de cerdo</v>
          </cell>
          <cell r="F324" t="str">
            <v>Pierna</v>
          </cell>
          <cell r="H324" t="str">
            <v>Limpieza</v>
          </cell>
          <cell r="I324" t="str">
            <v>Troceado</v>
          </cell>
          <cell r="J324" t="str">
            <v>Cocido al vapor</v>
          </cell>
          <cell r="M324" t="str">
            <v>Sus</v>
          </cell>
          <cell r="N324" t="str">
            <v>scrofa</v>
          </cell>
          <cell r="P324" t="str">
            <v>Industria</v>
          </cell>
          <cell r="R324" t="str">
            <v>Carne de cerdo, pierna cocida</v>
          </cell>
          <cell r="S324">
            <v>67.2</v>
          </cell>
          <cell r="T324">
            <v>0.1</v>
          </cell>
          <cell r="U324" t="str">
            <v>a</v>
          </cell>
        </row>
        <row r="325">
          <cell r="A325">
            <v>626</v>
          </cell>
          <cell r="B325" t="str">
            <v>Carne de cerdo, pierna horneada</v>
          </cell>
          <cell r="C325" t="str">
            <v>Carne</v>
          </cell>
          <cell r="D325" t="str">
            <v>Pierna de cerdo</v>
          </cell>
          <cell r="F325" t="str">
            <v>Pierna</v>
          </cell>
          <cell r="H325" t="str">
            <v>Limpieza</v>
          </cell>
          <cell r="I325" t="str">
            <v>Troceado</v>
          </cell>
          <cell r="J325" t="str">
            <v>Horneado</v>
          </cell>
          <cell r="M325" t="str">
            <v>Sus</v>
          </cell>
          <cell r="N325" t="str">
            <v>scrofa</v>
          </cell>
          <cell r="P325" t="str">
            <v>Industria</v>
          </cell>
          <cell r="R325" t="str">
            <v>Carne de cerdo, pierna horneada</v>
          </cell>
          <cell r="S325">
            <v>61</v>
          </cell>
          <cell r="T325">
            <v>0.5</v>
          </cell>
          <cell r="U325" t="str">
            <v>a</v>
          </cell>
        </row>
        <row r="326">
          <cell r="A326">
            <v>627</v>
          </cell>
          <cell r="B326" t="str">
            <v>Carne de cerdo, semigorda</v>
          </cell>
          <cell r="C326" t="str">
            <v>Carne</v>
          </cell>
          <cell r="D326" t="str">
            <v>Semigorda de cerdo</v>
          </cell>
          <cell r="E326" t="str">
            <v>Con grasa, 14% y 20%</v>
          </cell>
          <cell r="F326" t="str">
            <v>Varios cortes</v>
          </cell>
          <cell r="H326" t="str">
            <v>Limpieza</v>
          </cell>
          <cell r="I326" t="str">
            <v>Troceado</v>
          </cell>
          <cell r="M326" t="str">
            <v>Sus</v>
          </cell>
          <cell r="N326" t="str">
            <v>scrofa</v>
          </cell>
          <cell r="P326" t="str">
            <v>232</v>
          </cell>
          <cell r="Q326" t="str">
            <v>No reporta</v>
          </cell>
          <cell r="R326" t="str">
            <v>Carne de cerdo, semigorda</v>
          </cell>
          <cell r="S326">
            <v>62.8</v>
          </cell>
          <cell r="U326" t="str">
            <v>c</v>
          </cell>
        </row>
        <row r="327">
          <cell r="A327">
            <v>640</v>
          </cell>
          <cell r="B327" t="str">
            <v>Carne de gallina</v>
          </cell>
          <cell r="C327" t="str">
            <v>Carne</v>
          </cell>
          <cell r="D327" t="str">
            <v>Gallina</v>
          </cell>
          <cell r="F327" t="str">
            <v>Entero</v>
          </cell>
          <cell r="H327" t="str">
            <v>Limpieza</v>
          </cell>
          <cell r="M327" t="str">
            <v>Gallus</v>
          </cell>
          <cell r="N327" t="str">
            <v>gallus</v>
          </cell>
          <cell r="P327" t="str">
            <v>232</v>
          </cell>
          <cell r="Q327" t="str">
            <v>No reporta</v>
          </cell>
          <cell r="R327" t="str">
            <v>Carne de gallina</v>
          </cell>
          <cell r="S327">
            <v>55.9</v>
          </cell>
          <cell r="U327" t="str">
            <v>c</v>
          </cell>
        </row>
        <row r="328">
          <cell r="A328">
            <v>648</v>
          </cell>
          <cell r="B328" t="str">
            <v>Carne de pollo</v>
          </cell>
          <cell r="C328" t="str">
            <v>Carne</v>
          </cell>
          <cell r="D328" t="str">
            <v>Pollo</v>
          </cell>
          <cell r="F328" t="str">
            <v>Parte comestible, animal entero</v>
          </cell>
          <cell r="H328" t="str">
            <v>Limpieza</v>
          </cell>
          <cell r="I328" t="str">
            <v>Deshuesado</v>
          </cell>
          <cell r="M328" t="str">
            <v>Gallus</v>
          </cell>
          <cell r="N328" t="str">
            <v>domesticus</v>
          </cell>
          <cell r="P328" t="str">
            <v>232</v>
          </cell>
          <cell r="Q328" t="str">
            <v>No reporta</v>
          </cell>
          <cell r="R328" t="str">
            <v>Carne de pollo</v>
          </cell>
          <cell r="S328">
            <v>68.599999999999994</v>
          </cell>
          <cell r="U328" t="str">
            <v>c</v>
          </cell>
        </row>
        <row r="329">
          <cell r="A329">
            <v>654</v>
          </cell>
          <cell r="B329" t="str">
            <v>Carne de res, magra</v>
          </cell>
          <cell r="C329" t="str">
            <v>Carne</v>
          </cell>
          <cell r="D329" t="str">
            <v>Magra de res</v>
          </cell>
          <cell r="E329" t="str">
            <v>Carne magra</v>
          </cell>
          <cell r="F329" t="str">
            <v>Varios cortes</v>
          </cell>
          <cell r="H329" t="str">
            <v>Limpieza</v>
          </cell>
          <cell r="I329" t="str">
            <v>Troceado</v>
          </cell>
          <cell r="M329" t="str">
            <v>Bos</v>
          </cell>
          <cell r="N329" t="str">
            <v>taurus</v>
          </cell>
          <cell r="P329" t="str">
            <v>232</v>
          </cell>
          <cell r="Q329" t="str">
            <v>No reporta</v>
          </cell>
          <cell r="R329" t="str">
            <v>Carne de res, magra</v>
          </cell>
          <cell r="S329">
            <v>71</v>
          </cell>
          <cell r="U329" t="str">
            <v>c</v>
          </cell>
        </row>
        <row r="330">
          <cell r="A330">
            <v>657</v>
          </cell>
          <cell r="B330" t="str">
            <v>Carne de res, semigorda</v>
          </cell>
          <cell r="C330" t="str">
            <v>Carne</v>
          </cell>
          <cell r="D330" t="str">
            <v>Semigorda de res</v>
          </cell>
          <cell r="E330" t="str">
            <v>Grasa 14%-20%</v>
          </cell>
          <cell r="F330" t="str">
            <v>Varios cortes</v>
          </cell>
          <cell r="H330" t="str">
            <v>Limpieza</v>
          </cell>
          <cell r="I330" t="str">
            <v>Troceado</v>
          </cell>
          <cell r="M330" t="str">
            <v>Bos</v>
          </cell>
          <cell r="N330" t="str">
            <v>taurus</v>
          </cell>
          <cell r="P330" t="str">
            <v>232</v>
          </cell>
          <cell r="Q330" t="str">
            <v>No reporta</v>
          </cell>
          <cell r="R330" t="str">
            <v>Carne de res, semigorda</v>
          </cell>
          <cell r="S330">
            <v>63.4</v>
          </cell>
          <cell r="U330" t="str">
            <v>c</v>
          </cell>
        </row>
        <row r="331">
          <cell r="A331">
            <v>659</v>
          </cell>
          <cell r="B331" t="str">
            <v>Carne de ternera, magra</v>
          </cell>
          <cell r="C331" t="str">
            <v>Carne</v>
          </cell>
          <cell r="D331" t="str">
            <v>Magra de ternera</v>
          </cell>
          <cell r="E331" t="str">
            <v>Carne magra</v>
          </cell>
          <cell r="F331" t="str">
            <v>Varios cortes</v>
          </cell>
          <cell r="H331" t="str">
            <v>Limpieza</v>
          </cell>
          <cell r="I331" t="str">
            <v>Troceado</v>
          </cell>
          <cell r="M331" t="str">
            <v>Bos</v>
          </cell>
          <cell r="N331" t="str">
            <v>taurus</v>
          </cell>
          <cell r="P331" t="str">
            <v>232</v>
          </cell>
          <cell r="Q331" t="str">
            <v>No reporta</v>
          </cell>
          <cell r="R331" t="str">
            <v>Carne de ternera, magra</v>
          </cell>
          <cell r="S331">
            <v>69</v>
          </cell>
          <cell r="U331" t="str">
            <v>c</v>
          </cell>
        </row>
        <row r="332">
          <cell r="A332">
            <v>676</v>
          </cell>
          <cell r="B332" t="str">
            <v>Hígado de cerdo</v>
          </cell>
          <cell r="C332" t="str">
            <v>Carne</v>
          </cell>
          <cell r="D332" t="str">
            <v>Hígado de cerdo</v>
          </cell>
          <cell r="F332" t="str">
            <v>Hígado</v>
          </cell>
          <cell r="H332" t="str">
            <v>Limpieza</v>
          </cell>
          <cell r="M332" t="str">
            <v>Sus</v>
          </cell>
          <cell r="N332" t="str">
            <v>scrofa</v>
          </cell>
          <cell r="P332" t="str">
            <v>232</v>
          </cell>
          <cell r="Q332" t="str">
            <v>No reporta</v>
          </cell>
          <cell r="R332" t="str">
            <v>Hígado de cerdo</v>
          </cell>
          <cell r="S332">
            <v>72.3</v>
          </cell>
          <cell r="U332" t="str">
            <v>c</v>
          </cell>
        </row>
        <row r="333">
          <cell r="A333">
            <v>682</v>
          </cell>
          <cell r="B333" t="str">
            <v>Hígado de res</v>
          </cell>
          <cell r="C333" t="str">
            <v>Carne</v>
          </cell>
          <cell r="D333" t="str">
            <v>Hígado de res</v>
          </cell>
          <cell r="F333" t="str">
            <v>Hígado</v>
          </cell>
          <cell r="H333" t="str">
            <v>Limpieza</v>
          </cell>
          <cell r="M333" t="str">
            <v>Bos</v>
          </cell>
          <cell r="N333" t="str">
            <v>taurus</v>
          </cell>
          <cell r="P333" t="str">
            <v>232</v>
          </cell>
          <cell r="Q333" t="str">
            <v>No reporta</v>
          </cell>
          <cell r="R333" t="str">
            <v>Hígado de res</v>
          </cell>
          <cell r="S333">
            <v>71.7</v>
          </cell>
          <cell r="U333" t="str">
            <v>c</v>
          </cell>
        </row>
        <row r="334">
          <cell r="A334">
            <v>683</v>
          </cell>
          <cell r="B334" t="str">
            <v>Hígado de res asado</v>
          </cell>
          <cell r="C334" t="str">
            <v>Carne</v>
          </cell>
          <cell r="D334" t="str">
            <v>Hígado de res</v>
          </cell>
          <cell r="F334" t="str">
            <v>Hígado</v>
          </cell>
          <cell r="H334" t="str">
            <v>Limpieza</v>
          </cell>
          <cell r="I334" t="str">
            <v>Asado</v>
          </cell>
          <cell r="M334" t="str">
            <v>Bos</v>
          </cell>
          <cell r="N334" t="str">
            <v>taurus l,</v>
          </cell>
          <cell r="P334" t="str">
            <v>234, 235</v>
          </cell>
          <cell r="R334" t="str">
            <v>Hígado de res asado</v>
          </cell>
          <cell r="S334">
            <v>65.900000000000006</v>
          </cell>
          <cell r="U334" t="str">
            <v>d</v>
          </cell>
        </row>
        <row r="335">
          <cell r="A335">
            <v>684</v>
          </cell>
          <cell r="B335" t="str">
            <v>Hígado de res, cocido y freído</v>
          </cell>
          <cell r="C335" t="str">
            <v>Carne</v>
          </cell>
          <cell r="D335" t="str">
            <v>Hígado de res</v>
          </cell>
          <cell r="F335" t="str">
            <v>Hígado</v>
          </cell>
          <cell r="H335" t="str">
            <v>Limpieza</v>
          </cell>
          <cell r="I335" t="str">
            <v>Cocido</v>
          </cell>
          <cell r="J335" t="str">
            <v>Freído</v>
          </cell>
          <cell r="M335" t="str">
            <v>Bos</v>
          </cell>
          <cell r="N335" t="str">
            <v>taurus</v>
          </cell>
          <cell r="P335" t="str">
            <v>232</v>
          </cell>
          <cell r="Q335" t="str">
            <v>No reporta</v>
          </cell>
          <cell r="R335" t="str">
            <v>Hígado de res, cocido y freído</v>
          </cell>
          <cell r="S335">
            <v>56</v>
          </cell>
          <cell r="U335" t="str">
            <v>d</v>
          </cell>
        </row>
        <row r="336">
          <cell r="A336">
            <v>706</v>
          </cell>
          <cell r="B336" t="str">
            <v>Muslo de pollo cocido, con piel</v>
          </cell>
          <cell r="C336" t="str">
            <v>Carne</v>
          </cell>
          <cell r="D336" t="str">
            <v>Muslo de pollo</v>
          </cell>
          <cell r="F336" t="str">
            <v>Muslo con piel</v>
          </cell>
          <cell r="H336" t="str">
            <v>Limpieza</v>
          </cell>
          <cell r="I336" t="str">
            <v>Cocido</v>
          </cell>
          <cell r="M336" t="str">
            <v>Gallus</v>
          </cell>
          <cell r="N336" t="str">
            <v>domesticus</v>
          </cell>
          <cell r="P336" t="str">
            <v>234, 235</v>
          </cell>
          <cell r="R336" t="str">
            <v>Muslo de pollo cocido, con piel</v>
          </cell>
          <cell r="S336">
            <v>63.1</v>
          </cell>
          <cell r="U336" t="str">
            <v>d</v>
          </cell>
        </row>
        <row r="337">
          <cell r="A337">
            <v>707</v>
          </cell>
          <cell r="B337" t="str">
            <v>Muslo de pollo cocido, sin piel</v>
          </cell>
          <cell r="C337" t="str">
            <v>Carne</v>
          </cell>
          <cell r="D337" t="str">
            <v>Muslo de pollo</v>
          </cell>
          <cell r="F337" t="str">
            <v>Muslo sin piel</v>
          </cell>
          <cell r="H337" t="str">
            <v>Limpieza</v>
          </cell>
          <cell r="I337" t="str">
            <v>Despellejado</v>
          </cell>
          <cell r="J337" t="str">
            <v>Cocido</v>
          </cell>
          <cell r="M337" t="str">
            <v>Gallus</v>
          </cell>
          <cell r="N337" t="str">
            <v>domesticus</v>
          </cell>
          <cell r="P337" t="str">
            <v>234, 235</v>
          </cell>
          <cell r="R337" t="str">
            <v>Muslo de pollo cocido, sin piel</v>
          </cell>
          <cell r="S337">
            <v>65.599999999999994</v>
          </cell>
          <cell r="U337" t="str">
            <v>d</v>
          </cell>
        </row>
        <row r="338">
          <cell r="A338">
            <v>708</v>
          </cell>
          <cell r="B338" t="str">
            <v>Muslo de pollo, con piel</v>
          </cell>
          <cell r="C338" t="str">
            <v>Carne</v>
          </cell>
          <cell r="D338" t="str">
            <v>Muslo de pollo</v>
          </cell>
          <cell r="F338" t="str">
            <v>Muslo con piel</v>
          </cell>
          <cell r="H338" t="str">
            <v>Limpieza</v>
          </cell>
          <cell r="M338" t="str">
            <v>Gallus</v>
          </cell>
          <cell r="N338" t="str">
            <v>domesticus</v>
          </cell>
          <cell r="P338" t="str">
            <v>234, 235</v>
          </cell>
          <cell r="R338" t="str">
            <v>Muslo de pollo, con piel</v>
          </cell>
          <cell r="S338">
            <v>67.7</v>
          </cell>
          <cell r="U338" t="str">
            <v>d</v>
          </cell>
        </row>
        <row r="339">
          <cell r="A339">
            <v>709</v>
          </cell>
          <cell r="B339" t="str">
            <v>Muslo de pollo, sin piel</v>
          </cell>
          <cell r="C339" t="str">
            <v>Carne</v>
          </cell>
          <cell r="D339" t="str">
            <v>Muslo de pollo</v>
          </cell>
          <cell r="F339" t="str">
            <v>Muslo sin piel</v>
          </cell>
          <cell r="H339" t="str">
            <v>Limpieza</v>
          </cell>
          <cell r="I339" t="str">
            <v>Despellejado</v>
          </cell>
          <cell r="M339" t="str">
            <v>Gallus</v>
          </cell>
          <cell r="N339" t="str">
            <v>domesticus</v>
          </cell>
          <cell r="P339" t="str">
            <v>234, 235</v>
          </cell>
          <cell r="R339" t="str">
            <v>Muslo de pollo, sin piel</v>
          </cell>
          <cell r="S339">
            <v>62.9</v>
          </cell>
          <cell r="U339" t="str">
            <v>d</v>
          </cell>
        </row>
        <row r="340">
          <cell r="A340">
            <v>710</v>
          </cell>
          <cell r="B340" t="str">
            <v>Pajarilla de res</v>
          </cell>
          <cell r="C340" t="str">
            <v>Carne</v>
          </cell>
          <cell r="D340" t="str">
            <v>Bazo de res</v>
          </cell>
          <cell r="F340" t="str">
            <v>Bazo</v>
          </cell>
          <cell r="H340" t="str">
            <v>Limpieza</v>
          </cell>
          <cell r="I340" t="str">
            <v>Troceado</v>
          </cell>
          <cell r="L340" t="str">
            <v>Pajarilla</v>
          </cell>
          <cell r="M340" t="str">
            <v>Bos</v>
          </cell>
          <cell r="N340" t="str">
            <v>taurus</v>
          </cell>
          <cell r="P340" t="str">
            <v>232</v>
          </cell>
          <cell r="Q340" t="str">
            <v>No reporta</v>
          </cell>
          <cell r="R340" t="str">
            <v>Pajarilla de res</v>
          </cell>
          <cell r="S340">
            <v>76.400000000000006</v>
          </cell>
          <cell r="U340" t="str">
            <v>c</v>
          </cell>
        </row>
        <row r="341">
          <cell r="A341">
            <v>711</v>
          </cell>
          <cell r="B341" t="str">
            <v>Pajarilla de res, cocido y freído</v>
          </cell>
          <cell r="C341" t="str">
            <v>Carne</v>
          </cell>
          <cell r="D341" t="str">
            <v>Bazo de res</v>
          </cell>
          <cell r="F341" t="str">
            <v>Bazo</v>
          </cell>
          <cell r="H341" t="str">
            <v>Limpieza</v>
          </cell>
          <cell r="I341" t="str">
            <v>Cocido</v>
          </cell>
          <cell r="J341" t="str">
            <v>Freído</v>
          </cell>
          <cell r="L341" t="str">
            <v>Pajarilla</v>
          </cell>
          <cell r="M341" t="str">
            <v>Bos</v>
          </cell>
          <cell r="N341" t="str">
            <v>taurus</v>
          </cell>
          <cell r="P341" t="str">
            <v>232</v>
          </cell>
          <cell r="Q341" t="str">
            <v>No reporta</v>
          </cell>
          <cell r="R341" t="str">
            <v>Pajarilla de res, cocido y freído</v>
          </cell>
          <cell r="S341">
            <v>63.2</v>
          </cell>
          <cell r="U341" t="str">
            <v>c</v>
          </cell>
        </row>
        <row r="342">
          <cell r="A342">
            <v>716</v>
          </cell>
          <cell r="B342" t="str">
            <v>Pechuga de pollo con piel</v>
          </cell>
          <cell r="C342" t="str">
            <v>Carne</v>
          </cell>
          <cell r="D342" t="str">
            <v>Pechuga de pollo</v>
          </cell>
          <cell r="F342" t="str">
            <v>Pechuga con piel</v>
          </cell>
          <cell r="H342" t="str">
            <v>Lavado</v>
          </cell>
          <cell r="M342" t="str">
            <v>Gallus</v>
          </cell>
          <cell r="N342" t="str">
            <v>domesticus</v>
          </cell>
          <cell r="P342" t="str">
            <v>234, 235</v>
          </cell>
          <cell r="R342" t="str">
            <v>Pechuga de pollo con piel</v>
          </cell>
          <cell r="S342">
            <v>69.5</v>
          </cell>
          <cell r="U342" t="str">
            <v>d</v>
          </cell>
        </row>
        <row r="343">
          <cell r="A343">
            <v>717</v>
          </cell>
          <cell r="B343" t="str">
            <v>Pechuga de pollo cocida sin piel</v>
          </cell>
          <cell r="C343" t="str">
            <v>Carne</v>
          </cell>
          <cell r="D343" t="str">
            <v>Pechuga de pollo</v>
          </cell>
          <cell r="F343" t="str">
            <v>Pechuga sin piel</v>
          </cell>
          <cell r="H343" t="str">
            <v>Lavado</v>
          </cell>
          <cell r="I343" t="str">
            <v>Despellejado</v>
          </cell>
          <cell r="J343" t="str">
            <v>Cocido</v>
          </cell>
          <cell r="M343" t="str">
            <v>Gallus</v>
          </cell>
          <cell r="N343" t="str">
            <v>domesticus</v>
          </cell>
          <cell r="P343" t="str">
            <v>234, 235</v>
          </cell>
          <cell r="R343" t="str">
            <v>Pechuga de pollo cocida sin piel</v>
          </cell>
          <cell r="S343">
            <v>68.3</v>
          </cell>
          <cell r="U343" t="str">
            <v>d</v>
          </cell>
        </row>
        <row r="344">
          <cell r="A344">
            <v>721</v>
          </cell>
          <cell r="B344" t="str">
            <v>Pierna de pollo cocida, con piel</v>
          </cell>
          <cell r="C344" t="str">
            <v>Carne</v>
          </cell>
          <cell r="D344" t="str">
            <v>Pierna de pollo</v>
          </cell>
          <cell r="F344" t="str">
            <v>Pierna con piel</v>
          </cell>
          <cell r="H344" t="str">
            <v>Lavado</v>
          </cell>
          <cell r="I344" t="str">
            <v>Cocido</v>
          </cell>
          <cell r="M344" t="str">
            <v>Gallus</v>
          </cell>
          <cell r="N344" t="str">
            <v>domesticus</v>
          </cell>
          <cell r="P344" t="str">
            <v>234, 235</v>
          </cell>
          <cell r="R344" t="str">
            <v>Pierna de pollo cocida, con piel</v>
          </cell>
          <cell r="S344">
            <v>64</v>
          </cell>
          <cell r="U344" t="str">
            <v>d</v>
          </cell>
        </row>
        <row r="345">
          <cell r="A345">
            <v>722</v>
          </cell>
          <cell r="B345" t="str">
            <v>Pierna de pollo cocida, sin piel</v>
          </cell>
          <cell r="C345" t="str">
            <v>Carne</v>
          </cell>
          <cell r="D345" t="str">
            <v>Pierna de pollo</v>
          </cell>
          <cell r="F345" t="str">
            <v>Pierna sin piel</v>
          </cell>
          <cell r="H345" t="str">
            <v>Lavado</v>
          </cell>
          <cell r="I345" t="str">
            <v>Despellejado</v>
          </cell>
          <cell r="J345" t="str">
            <v>Cocido</v>
          </cell>
          <cell r="M345" t="str">
            <v>Gallus</v>
          </cell>
          <cell r="N345" t="str">
            <v>domesticus</v>
          </cell>
          <cell r="P345" t="str">
            <v>234, 235</v>
          </cell>
          <cell r="R345" t="str">
            <v>Pierna de pollo cocida, sin piel</v>
          </cell>
          <cell r="S345">
            <v>66.400000000000006</v>
          </cell>
          <cell r="U345" t="str">
            <v>d</v>
          </cell>
        </row>
        <row r="346">
          <cell r="A346">
            <v>723</v>
          </cell>
          <cell r="B346" t="str">
            <v>Pierna de pollo, con piel</v>
          </cell>
          <cell r="C346" t="str">
            <v>Carne</v>
          </cell>
          <cell r="D346" t="str">
            <v>Pierna de pollo</v>
          </cell>
          <cell r="F346" t="str">
            <v>Pierna con piel</v>
          </cell>
          <cell r="H346" t="str">
            <v>Lavado</v>
          </cell>
          <cell r="M346" t="str">
            <v>Gallus</v>
          </cell>
          <cell r="N346" t="str">
            <v>domesticus</v>
          </cell>
          <cell r="P346" t="str">
            <v>234, 235</v>
          </cell>
          <cell r="R346" t="str">
            <v>Pierna de pollo, con piel</v>
          </cell>
          <cell r="S346">
            <v>69.900000000000006</v>
          </cell>
          <cell r="U346" t="str">
            <v>d</v>
          </cell>
        </row>
        <row r="347">
          <cell r="A347">
            <v>725</v>
          </cell>
          <cell r="B347" t="str">
            <v>Riñón de cerdo</v>
          </cell>
          <cell r="C347" t="str">
            <v>Carne</v>
          </cell>
          <cell r="D347" t="str">
            <v>Riñón de cerdo</v>
          </cell>
          <cell r="F347" t="str">
            <v>Riñón</v>
          </cell>
          <cell r="H347" t="str">
            <v>Limpieza</v>
          </cell>
          <cell r="M347" t="str">
            <v>Sus</v>
          </cell>
          <cell r="N347" t="str">
            <v>scrofa</v>
          </cell>
          <cell r="P347" t="str">
            <v>232</v>
          </cell>
          <cell r="Q347" t="str">
            <v>No reporta</v>
          </cell>
          <cell r="R347" t="str">
            <v>Riñón de cerdo</v>
          </cell>
          <cell r="S347">
            <v>71.3</v>
          </cell>
          <cell r="U347" t="str">
            <v>c</v>
          </cell>
        </row>
        <row r="348">
          <cell r="A348">
            <v>728</v>
          </cell>
          <cell r="B348" t="str">
            <v>Riñón de res</v>
          </cell>
          <cell r="C348" t="str">
            <v>Carne</v>
          </cell>
          <cell r="D348" t="str">
            <v>Riñon de res</v>
          </cell>
          <cell r="F348" t="str">
            <v>Riñón, tejido blando</v>
          </cell>
          <cell r="H348" t="str">
            <v>Limpieza</v>
          </cell>
          <cell r="M348" t="str">
            <v>Bos</v>
          </cell>
          <cell r="N348" t="str">
            <v>taurus</v>
          </cell>
          <cell r="P348" t="str">
            <v>232</v>
          </cell>
          <cell r="Q348" t="str">
            <v>No reporta</v>
          </cell>
          <cell r="R348" t="str">
            <v>Riñón de res</v>
          </cell>
          <cell r="S348">
            <v>77.400000000000006</v>
          </cell>
          <cell r="U348" t="str">
            <v>c</v>
          </cell>
        </row>
        <row r="349">
          <cell r="A349">
            <v>729</v>
          </cell>
          <cell r="B349" t="str">
            <v>Riñón de res, freído o cocido</v>
          </cell>
          <cell r="C349" t="str">
            <v>Carne</v>
          </cell>
          <cell r="D349" t="str">
            <v>Riñon de res</v>
          </cell>
          <cell r="F349" t="str">
            <v>Riñón</v>
          </cell>
          <cell r="H349" t="str">
            <v>Limpieza</v>
          </cell>
          <cell r="I349" t="str">
            <v>Cocido</v>
          </cell>
          <cell r="J349" t="str">
            <v>Freído</v>
          </cell>
          <cell r="M349" t="str">
            <v>Bos</v>
          </cell>
          <cell r="N349" t="str">
            <v>taurus</v>
          </cell>
          <cell r="P349" t="str">
            <v>232</v>
          </cell>
          <cell r="Q349" t="str">
            <v>No reporta</v>
          </cell>
          <cell r="R349" t="str">
            <v>Riñón de res, freído o cocido</v>
          </cell>
          <cell r="S349">
            <v>59.6</v>
          </cell>
          <cell r="U349" t="str">
            <v>d</v>
          </cell>
        </row>
        <row r="350">
          <cell r="A350">
            <v>753</v>
          </cell>
          <cell r="B350" t="str">
            <v>Crema de leche</v>
          </cell>
          <cell r="C350" t="str">
            <v>Crema</v>
          </cell>
          <cell r="D350" t="str">
            <v>De leche</v>
          </cell>
          <cell r="H350" t="str">
            <v>Centrifugación</v>
          </cell>
          <cell r="I350" t="str">
            <v>Adición cultivo láctico</v>
          </cell>
          <cell r="P350" t="str">
            <v>232</v>
          </cell>
          <cell r="Q350" t="str">
            <v>No reporta</v>
          </cell>
          <cell r="R350" t="str">
            <v>Crema de leche</v>
          </cell>
          <cell r="S350">
            <v>72.5</v>
          </cell>
          <cell r="U350" t="str">
            <v>c</v>
          </cell>
        </row>
        <row r="351">
          <cell r="A351">
            <v>754</v>
          </cell>
          <cell r="B351" t="str">
            <v>Cuajada</v>
          </cell>
          <cell r="C351" t="str">
            <v>Leche</v>
          </cell>
          <cell r="D351" t="str">
            <v>Cuajada</v>
          </cell>
          <cell r="H351" t="str">
            <v>Calentamiento</v>
          </cell>
          <cell r="I351" t="str">
            <v>Cuajado</v>
          </cell>
          <cell r="P351" t="str">
            <v>232</v>
          </cell>
          <cell r="Q351" t="str">
            <v>No reporta</v>
          </cell>
          <cell r="R351" t="str">
            <v>Cuajada</v>
          </cell>
          <cell r="S351">
            <v>57.5</v>
          </cell>
          <cell r="U351" t="str">
            <v>c</v>
          </cell>
        </row>
        <row r="352">
          <cell r="A352">
            <v>757</v>
          </cell>
          <cell r="B352" t="str">
            <v>Helado de crema y azúcar</v>
          </cell>
          <cell r="C352" t="str">
            <v>Helados</v>
          </cell>
          <cell r="D352" t="str">
            <v>De crema y azúcar</v>
          </cell>
          <cell r="H352" t="str">
            <v>Mezclado</v>
          </cell>
          <cell r="I352" t="str">
            <v>Congelado</v>
          </cell>
          <cell r="P352" t="str">
            <v>232</v>
          </cell>
          <cell r="Q352" t="str">
            <v>No reporta</v>
          </cell>
          <cell r="R352" t="str">
            <v>Helado de crema y azúcar</v>
          </cell>
          <cell r="S352">
            <v>62.8</v>
          </cell>
          <cell r="U352" t="str">
            <v>d</v>
          </cell>
        </row>
        <row r="353">
          <cell r="A353">
            <v>759</v>
          </cell>
          <cell r="B353" t="str">
            <v>Kumis</v>
          </cell>
          <cell r="C353" t="str">
            <v>Kumis</v>
          </cell>
          <cell r="H353" t="str">
            <v>Inoculado</v>
          </cell>
          <cell r="I353" t="str">
            <v>Pasteurizado</v>
          </cell>
          <cell r="P353" t="str">
            <v>232, 251</v>
          </cell>
          <cell r="Q353" t="str">
            <v>Muestra comercial</v>
          </cell>
          <cell r="R353" t="str">
            <v>Kumis</v>
          </cell>
          <cell r="S353">
            <v>80.5</v>
          </cell>
          <cell r="U353" t="str">
            <v>d</v>
          </cell>
        </row>
        <row r="354">
          <cell r="A354">
            <v>762</v>
          </cell>
          <cell r="B354" t="str">
            <v>Leche de vaca, condensada, azucarada</v>
          </cell>
          <cell r="C354" t="str">
            <v>Leche</v>
          </cell>
          <cell r="D354" t="str">
            <v>Condensada</v>
          </cell>
          <cell r="H354" t="str">
            <v>Estandarización y Pasteurizado</v>
          </cell>
          <cell r="I354" t="str">
            <v>Mezcla con azúcar y Condensación</v>
          </cell>
          <cell r="J354" t="str">
            <v>Enfriamiento</v>
          </cell>
          <cell r="K354" t="str">
            <v>Envasado</v>
          </cell>
          <cell r="P354" t="str">
            <v>232</v>
          </cell>
          <cell r="Q354" t="str">
            <v>No reporta</v>
          </cell>
          <cell r="R354" t="str">
            <v>Leche de vaca, condensada, azucarada</v>
          </cell>
          <cell r="S354">
            <v>27</v>
          </cell>
          <cell r="U354" t="str">
            <v>c</v>
          </cell>
        </row>
        <row r="355">
          <cell r="A355">
            <v>764</v>
          </cell>
          <cell r="B355" t="str">
            <v>Leche de vaca, hervida</v>
          </cell>
          <cell r="C355" t="str">
            <v>Leche</v>
          </cell>
          <cell r="D355" t="str">
            <v>Hervida</v>
          </cell>
          <cell r="H355" t="str">
            <v>Hervida</v>
          </cell>
          <cell r="P355" t="str">
            <v>232</v>
          </cell>
          <cell r="Q355" t="str">
            <v>No reporta</v>
          </cell>
          <cell r="R355" t="str">
            <v>Leche de vaca, hervida</v>
          </cell>
          <cell r="S355">
            <v>88</v>
          </cell>
          <cell r="U355" t="str">
            <v>c</v>
          </cell>
        </row>
        <row r="356">
          <cell r="A356">
            <v>765</v>
          </cell>
          <cell r="B356" t="str">
            <v>Leche en polvo entera de vaca</v>
          </cell>
          <cell r="C356" t="str">
            <v>Leche</v>
          </cell>
          <cell r="D356" t="str">
            <v>En polvo entera de vaca</v>
          </cell>
          <cell r="H356" t="str">
            <v>Refrigeración y Recolección</v>
          </cell>
          <cell r="I356" t="str">
            <v>Pasteurizado y homogenización</v>
          </cell>
          <cell r="J356" t="str">
            <v>Evaporado y Secado</v>
          </cell>
          <cell r="K356" t="str">
            <v>Envasado</v>
          </cell>
          <cell r="P356" t="str">
            <v>232, 4</v>
          </cell>
          <cell r="Q356" t="str">
            <v>Muestra comercial</v>
          </cell>
          <cell r="R356" t="str">
            <v>Leche en polvo entera de vaca</v>
          </cell>
          <cell r="S356">
            <v>2.7</v>
          </cell>
          <cell r="T356">
            <v>0.5</v>
          </cell>
          <cell r="U356" t="str">
            <v>a</v>
          </cell>
        </row>
        <row r="357">
          <cell r="A357">
            <v>769</v>
          </cell>
          <cell r="B357" t="str">
            <v>Leche entera pasteurizada de vaca</v>
          </cell>
          <cell r="C357" t="str">
            <v>Leche</v>
          </cell>
          <cell r="D357" t="str">
            <v>Entera pasteurizada de vaca</v>
          </cell>
          <cell r="H357" t="str">
            <v>Pasteurizada</v>
          </cell>
          <cell r="P357" t="str">
            <v>232, 135, 4, 58,158</v>
          </cell>
          <cell r="Q357" t="str">
            <v>Muestra comercial</v>
          </cell>
          <cell r="R357" t="str">
            <v>Leche entera pasteurizada de vaca</v>
          </cell>
          <cell r="S357">
            <v>89.5</v>
          </cell>
          <cell r="T357">
            <v>2.1</v>
          </cell>
          <cell r="U357" t="str">
            <v>b</v>
          </cell>
        </row>
        <row r="358">
          <cell r="A358">
            <v>776</v>
          </cell>
          <cell r="B358" t="str">
            <v>Queso campesino</v>
          </cell>
          <cell r="C358" t="str">
            <v>Queso</v>
          </cell>
          <cell r="D358" t="str">
            <v>Campesino</v>
          </cell>
          <cell r="H358" t="str">
            <v>Filtrado y pasteurizado</v>
          </cell>
          <cell r="I358" t="str">
            <v>Inoculado y coagulado</v>
          </cell>
          <cell r="J358" t="str">
            <v>Desuero y prensado</v>
          </cell>
          <cell r="K358" t="str">
            <v>Salado</v>
          </cell>
          <cell r="P358" t="str">
            <v>162, 251</v>
          </cell>
          <cell r="Q358" t="str">
            <v>No reporta</v>
          </cell>
          <cell r="R358" t="str">
            <v>Queso campesino</v>
          </cell>
          <cell r="S358">
            <v>53.7</v>
          </cell>
          <cell r="T358">
            <v>0.4</v>
          </cell>
          <cell r="U358" t="str">
            <v>b</v>
          </cell>
        </row>
        <row r="359">
          <cell r="A359">
            <v>783</v>
          </cell>
          <cell r="B359" t="str">
            <v>Queso mozarella</v>
          </cell>
          <cell r="C359" t="str">
            <v>Queso</v>
          </cell>
          <cell r="D359" t="str">
            <v>Mozarella</v>
          </cell>
          <cell r="H359" t="str">
            <v>Filtrado y pasteurizado</v>
          </cell>
          <cell r="I359" t="str">
            <v>Inoculado y coagulado</v>
          </cell>
          <cell r="J359" t="str">
            <v>Desuero y prensado</v>
          </cell>
          <cell r="P359" t="str">
            <v>234, 235</v>
          </cell>
          <cell r="R359" t="str">
            <v>Queso mozarella</v>
          </cell>
          <cell r="S359">
            <v>54.1</v>
          </cell>
          <cell r="U359" t="str">
            <v>d</v>
          </cell>
        </row>
        <row r="360">
          <cell r="A360">
            <v>796</v>
          </cell>
          <cell r="B360" t="str">
            <v>Yogurt</v>
          </cell>
          <cell r="C360" t="str">
            <v>Yogurt</v>
          </cell>
          <cell r="H360" t="str">
            <v>Inoculado</v>
          </cell>
          <cell r="I360" t="str">
            <v>Pasteurizado</v>
          </cell>
          <cell r="P360" t="str">
            <v>232</v>
          </cell>
          <cell r="Q360" t="str">
            <v>No reporta</v>
          </cell>
          <cell r="R360" t="str">
            <v>Yogurt</v>
          </cell>
          <cell r="S360">
            <v>78.900000000000006</v>
          </cell>
          <cell r="U360" t="str">
            <v>d</v>
          </cell>
        </row>
        <row r="361">
          <cell r="A361">
            <v>814</v>
          </cell>
          <cell r="B361" t="str">
            <v>Avena preparada</v>
          </cell>
          <cell r="C361" t="str">
            <v>Avena</v>
          </cell>
          <cell r="D361" t="str">
            <v>Preparada</v>
          </cell>
          <cell r="H361" t="str">
            <v>Mezclado</v>
          </cell>
          <cell r="I361" t="str">
            <v>Cocido</v>
          </cell>
          <cell r="M361" t="str">
            <v>Avena</v>
          </cell>
          <cell r="N361" t="str">
            <v>sativa L,</v>
          </cell>
          <cell r="P361" t="str">
            <v>232</v>
          </cell>
          <cell r="Q361" t="str">
            <v>No reporta</v>
          </cell>
          <cell r="R361" t="str">
            <v>Avena preparada</v>
          </cell>
          <cell r="S361">
            <v>86.5</v>
          </cell>
          <cell r="U361" t="str">
            <v>d</v>
          </cell>
        </row>
        <row r="362">
          <cell r="A362">
            <v>850</v>
          </cell>
          <cell r="B362" t="str">
            <v>Huevo de gallina</v>
          </cell>
          <cell r="C362" t="str">
            <v>Huevo</v>
          </cell>
          <cell r="F362" t="str">
            <v>Entero</v>
          </cell>
          <cell r="H362" t="str">
            <v>Pelado</v>
          </cell>
          <cell r="P362" t="str">
            <v>232</v>
          </cell>
          <cell r="Q362" t="str">
            <v>No reporta</v>
          </cell>
          <cell r="R362" t="str">
            <v>Huevo de gallina</v>
          </cell>
          <cell r="S362">
            <v>74</v>
          </cell>
          <cell r="U362" t="str">
            <v>c</v>
          </cell>
        </row>
        <row r="363">
          <cell r="A363">
            <v>851</v>
          </cell>
          <cell r="B363" t="str">
            <v>Huevo de gallina, clara</v>
          </cell>
          <cell r="C363" t="str">
            <v>Huevo</v>
          </cell>
          <cell r="D363" t="str">
            <v>Clara</v>
          </cell>
          <cell r="F363" t="str">
            <v>Clara</v>
          </cell>
          <cell r="H363" t="str">
            <v>Separación clara</v>
          </cell>
          <cell r="P363" t="str">
            <v>232</v>
          </cell>
          <cell r="Q363" t="str">
            <v>No reporta</v>
          </cell>
          <cell r="R363" t="str">
            <v>Huevo de gallina, clara</v>
          </cell>
          <cell r="S363">
            <v>87.8</v>
          </cell>
          <cell r="U363" t="str">
            <v>c</v>
          </cell>
        </row>
        <row r="364">
          <cell r="A364">
            <v>858</v>
          </cell>
          <cell r="B364" t="str">
            <v>Azúcar</v>
          </cell>
          <cell r="C364" t="str">
            <v>Azúcar</v>
          </cell>
          <cell r="H364" t="str">
            <v>Troceado caña y extracción del jugo</v>
          </cell>
          <cell r="I364" t="str">
            <v>Clarificado y sedimentado</v>
          </cell>
          <cell r="J364" t="str">
            <v>Evaporado y cristalizado</v>
          </cell>
          <cell r="K364" t="str">
            <v>Centrifugado y secado</v>
          </cell>
          <cell r="M364" t="str">
            <v>Saccharum</v>
          </cell>
          <cell r="N364" t="str">
            <v>officinarum L,</v>
          </cell>
          <cell r="P364" t="str">
            <v>232</v>
          </cell>
          <cell r="Q364" t="str">
            <v>No reporta</v>
          </cell>
          <cell r="R364" t="str">
            <v>Azúcar</v>
          </cell>
          <cell r="S364">
            <v>0.5</v>
          </cell>
          <cell r="U364" t="str">
            <v>c</v>
          </cell>
        </row>
        <row r="365">
          <cell r="A365">
            <v>859</v>
          </cell>
          <cell r="B365" t="str">
            <v>Azúcar morena</v>
          </cell>
          <cell r="C365" t="str">
            <v>Azúcar</v>
          </cell>
          <cell r="D365" t="str">
            <v>Morena</v>
          </cell>
          <cell r="H365" t="str">
            <v>Picado de caña</v>
          </cell>
          <cell r="I365" t="str">
            <v>Macerado</v>
          </cell>
          <cell r="J365" t="str">
            <v>Evaporado y cristalizado</v>
          </cell>
          <cell r="K365" t="str">
            <v>Centrifugado y secado</v>
          </cell>
          <cell r="P365" t="str">
            <v>234, 235</v>
          </cell>
          <cell r="R365" t="str">
            <v>Azúcar morena</v>
          </cell>
          <cell r="S365">
            <v>1.6</v>
          </cell>
          <cell r="U365" t="str">
            <v>d</v>
          </cell>
        </row>
        <row r="366">
          <cell r="A366">
            <v>866</v>
          </cell>
          <cell r="B366" t="str">
            <v>Chocolate</v>
          </cell>
          <cell r="C366" t="str">
            <v>Chocolate</v>
          </cell>
          <cell r="D366" t="str">
            <v>Aliñado</v>
          </cell>
          <cell r="F366" t="str">
            <v>Grano</v>
          </cell>
          <cell r="H366" t="str">
            <v>Limpieza</v>
          </cell>
          <cell r="I366" t="str">
            <v>Tostado y descascarillado</v>
          </cell>
          <cell r="J366" t="str">
            <v>Molido y mezclado</v>
          </cell>
          <cell r="M366" t="str">
            <v>Theobroma</v>
          </cell>
          <cell r="N366" t="str">
            <v>cacao</v>
          </cell>
          <cell r="P366" t="str">
            <v>217</v>
          </cell>
          <cell r="Q366" t="str">
            <v>Huila</v>
          </cell>
          <cell r="R366" t="str">
            <v>Chocolate</v>
          </cell>
          <cell r="S366">
            <v>0.4</v>
          </cell>
          <cell r="U366" t="str">
            <v>d</v>
          </cell>
        </row>
        <row r="367">
          <cell r="A367">
            <v>868</v>
          </cell>
          <cell r="B367" t="str">
            <v>Chocolate con azúcar</v>
          </cell>
          <cell r="C367" t="str">
            <v>Chocolate</v>
          </cell>
          <cell r="D367" t="str">
            <v>Azúcar</v>
          </cell>
          <cell r="H367" t="str">
            <v>Limpieza</v>
          </cell>
          <cell r="I367" t="str">
            <v>Tostado y descascarillado</v>
          </cell>
          <cell r="J367" t="str">
            <v>Molido</v>
          </cell>
          <cell r="K367" t="str">
            <v>Mezclado</v>
          </cell>
          <cell r="M367" t="str">
            <v>Theobroma</v>
          </cell>
          <cell r="N367" t="str">
            <v>cacao</v>
          </cell>
          <cell r="P367" t="str">
            <v>232, Industria</v>
          </cell>
          <cell r="Q367" t="str">
            <v>Muestra comercial</v>
          </cell>
          <cell r="R367" t="str">
            <v>Chocolate con azúcar</v>
          </cell>
          <cell r="S367">
            <v>3.1</v>
          </cell>
          <cell r="U367" t="str">
            <v>c</v>
          </cell>
        </row>
        <row r="368">
          <cell r="A368">
            <v>869</v>
          </cell>
          <cell r="B368" t="str">
            <v>Chocolate con azúcar y leche</v>
          </cell>
          <cell r="C368" t="str">
            <v>Chocolate</v>
          </cell>
          <cell r="D368" t="str">
            <v>Con azúcar y leche</v>
          </cell>
          <cell r="H368" t="str">
            <v>Limpieza</v>
          </cell>
          <cell r="I368" t="str">
            <v>Tostado y descascarillado</v>
          </cell>
          <cell r="J368" t="str">
            <v>Molido</v>
          </cell>
          <cell r="K368" t="str">
            <v>Mezclado</v>
          </cell>
          <cell r="P368" t="str">
            <v>232</v>
          </cell>
          <cell r="Q368" t="str">
            <v>No reporta</v>
          </cell>
          <cell r="R368" t="str">
            <v>Chocolate con azúcar y leche</v>
          </cell>
          <cell r="S368">
            <v>1.7</v>
          </cell>
          <cell r="U368" t="str">
            <v>d</v>
          </cell>
        </row>
        <row r="369">
          <cell r="A369">
            <v>870</v>
          </cell>
          <cell r="B369" t="str">
            <v>Chocolatina</v>
          </cell>
          <cell r="C369" t="str">
            <v>Chocolatina</v>
          </cell>
          <cell r="H369" t="str">
            <v>Limpieza y tostado</v>
          </cell>
          <cell r="I369" t="str">
            <v>Molido y prensado</v>
          </cell>
          <cell r="J369" t="str">
            <v>Adición de leche en polvo y azúcar</v>
          </cell>
          <cell r="K369" t="str">
            <v>Calentado y moldeado</v>
          </cell>
          <cell r="M369" t="str">
            <v>Theobroma</v>
          </cell>
          <cell r="N369" t="str">
            <v>cacao</v>
          </cell>
          <cell r="P369" t="str">
            <v>Industria</v>
          </cell>
          <cell r="Q369" t="str">
            <v>Muestra comercial</v>
          </cell>
          <cell r="R369" t="str">
            <v>Chocolatina</v>
          </cell>
          <cell r="S369">
            <v>35.200000000000003</v>
          </cell>
          <cell r="U369" t="str">
            <v>b</v>
          </cell>
        </row>
        <row r="370">
          <cell r="A370">
            <v>872</v>
          </cell>
          <cell r="B370" t="str">
            <v>Cocadas de panela</v>
          </cell>
          <cell r="C370" t="str">
            <v>Cocadas</v>
          </cell>
          <cell r="D370" t="str">
            <v>De panela</v>
          </cell>
          <cell r="H370" t="str">
            <v>Mezclado</v>
          </cell>
          <cell r="I370" t="str">
            <v>Cocido</v>
          </cell>
          <cell r="P370" t="str">
            <v>232</v>
          </cell>
          <cell r="Q370" t="str">
            <v>No reporta</v>
          </cell>
          <cell r="R370" t="str">
            <v>Cocadas de panela</v>
          </cell>
          <cell r="S370">
            <v>6</v>
          </cell>
          <cell r="U370" t="str">
            <v>d</v>
          </cell>
        </row>
        <row r="371">
          <cell r="A371">
            <v>879</v>
          </cell>
          <cell r="B371" t="str">
            <v>Mermelada</v>
          </cell>
          <cell r="C371" t="str">
            <v>Mermelada</v>
          </cell>
          <cell r="H371" t="str">
            <v>Lavado y extracción de pulpa</v>
          </cell>
          <cell r="I371" t="str">
            <v>Escaldado y Licuado</v>
          </cell>
          <cell r="J371" t="str">
            <v>Adición de azúcar</v>
          </cell>
          <cell r="K371" t="str">
            <v>Proceso térmico</v>
          </cell>
          <cell r="P371" t="str">
            <v>232</v>
          </cell>
          <cell r="Q371" t="str">
            <v>No reporta</v>
          </cell>
          <cell r="R371" t="str">
            <v>Mermelada</v>
          </cell>
          <cell r="S371">
            <v>28</v>
          </cell>
          <cell r="U371" t="str">
            <v>c</v>
          </cell>
        </row>
        <row r="372">
          <cell r="A372">
            <v>886</v>
          </cell>
          <cell r="B372" t="str">
            <v>Panela</v>
          </cell>
          <cell r="C372" t="str">
            <v>Panela</v>
          </cell>
          <cell r="H372" t="str">
            <v>Molido en trapiche</v>
          </cell>
          <cell r="I372" t="str">
            <v>Jugo descachado</v>
          </cell>
          <cell r="J372" t="str">
            <v>Concentrado</v>
          </cell>
          <cell r="K372" t="str">
            <v>Secado</v>
          </cell>
          <cell r="M372" t="str">
            <v>Saccharum</v>
          </cell>
          <cell r="N372" t="str">
            <v>officinarum</v>
          </cell>
          <cell r="P372" t="str">
            <v>206</v>
          </cell>
          <cell r="Q372" t="str">
            <v>Risaralda, Valle del Cauca, Boyacá, Cundinamarca, Antioquia</v>
          </cell>
          <cell r="R372" t="str">
            <v>Panela</v>
          </cell>
          <cell r="S372">
            <v>6.3</v>
          </cell>
          <cell r="T372">
            <v>4.5</v>
          </cell>
          <cell r="U372" t="str">
            <v>a</v>
          </cell>
        </row>
        <row r="373">
          <cell r="A373">
            <v>926</v>
          </cell>
          <cell r="B373" t="str">
            <v>Bocadillo veleño</v>
          </cell>
          <cell r="C373" t="str">
            <v>Bocadillo</v>
          </cell>
          <cell r="D373" t="str">
            <v>Veleño</v>
          </cell>
          <cell r="H373" t="str">
            <v>Pelado del fruto</v>
          </cell>
          <cell r="I373" t="str">
            <v>Macerado</v>
          </cell>
          <cell r="J373" t="str">
            <v>Adición de azúcar</v>
          </cell>
          <cell r="K373" t="str">
            <v>Evaporado</v>
          </cell>
          <cell r="P373" t="str">
            <v>232</v>
          </cell>
          <cell r="Q373" t="str">
            <v>No reporta</v>
          </cell>
          <cell r="R373" t="str">
            <v>Bocadillo veleño</v>
          </cell>
          <cell r="S373">
            <v>20.100000000000001</v>
          </cell>
          <cell r="U373" t="str">
            <v>c</v>
          </cell>
        </row>
        <row r="374">
          <cell r="A374">
            <v>927</v>
          </cell>
          <cell r="B374" t="str">
            <v>Bollo de mazorca</v>
          </cell>
          <cell r="C374" t="str">
            <v>Bollo</v>
          </cell>
          <cell r="D374" t="str">
            <v>Mazorca</v>
          </cell>
          <cell r="H374" t="str">
            <v>Mezclado de ingredientes</v>
          </cell>
          <cell r="I374" t="str">
            <v>Cocido</v>
          </cell>
          <cell r="P374" t="str">
            <v>232</v>
          </cell>
          <cell r="Q374" t="str">
            <v>No reporta</v>
          </cell>
          <cell r="R374" t="str">
            <v>Bollo de mazorca</v>
          </cell>
          <cell r="S374">
            <v>63</v>
          </cell>
          <cell r="U374" t="str">
            <v>d</v>
          </cell>
        </row>
        <row r="375">
          <cell r="A375">
            <v>943</v>
          </cell>
          <cell r="B375" t="str">
            <v>Cucas</v>
          </cell>
          <cell r="C375" t="str">
            <v>Galletas</v>
          </cell>
          <cell r="D375" t="str">
            <v>Harina de trigo con panela</v>
          </cell>
          <cell r="H375" t="str">
            <v>Horneado</v>
          </cell>
          <cell r="M375" t="str">
            <v>Zea</v>
          </cell>
          <cell r="N375" t="str">
            <v>mays L,</v>
          </cell>
          <cell r="P375" t="str">
            <v>232</v>
          </cell>
          <cell r="Q375" t="str">
            <v>No reporta</v>
          </cell>
          <cell r="R375" t="str">
            <v>Cucas</v>
          </cell>
          <cell r="S375">
            <v>5.4</v>
          </cell>
          <cell r="U375" t="str">
            <v>d</v>
          </cell>
        </row>
        <row r="376">
          <cell r="A376">
            <v>971</v>
          </cell>
          <cell r="B376" t="str">
            <v>Pan de yuca</v>
          </cell>
          <cell r="C376" t="str">
            <v>Pan</v>
          </cell>
          <cell r="D376" t="str">
            <v>De yuca</v>
          </cell>
          <cell r="H376" t="str">
            <v>Mezclado</v>
          </cell>
          <cell r="I376" t="str">
            <v>Amasado</v>
          </cell>
          <cell r="J376" t="str">
            <v>Fermentado</v>
          </cell>
          <cell r="K376" t="str">
            <v>Horneado</v>
          </cell>
          <cell r="P376" t="str">
            <v>232</v>
          </cell>
          <cell r="Q376" t="str">
            <v>No reporta</v>
          </cell>
          <cell r="R376" t="str">
            <v>Pan de yuca</v>
          </cell>
          <cell r="S376">
            <v>23.5</v>
          </cell>
          <cell r="U376" t="str">
            <v>c</v>
          </cell>
        </row>
        <row r="377">
          <cell r="A377">
            <v>1004</v>
          </cell>
          <cell r="B377" t="str">
            <v>Bienestarina</v>
          </cell>
          <cell r="C377" t="str">
            <v>Bienestarina</v>
          </cell>
          <cell r="H377" t="str">
            <v>Mezcla harinas vegetales</v>
          </cell>
          <cell r="I377" t="str">
            <v>Adición leche en polvo descremada</v>
          </cell>
          <cell r="J377" t="str">
            <v>Enriquecimiento con vitaminas y minerales</v>
          </cell>
          <cell r="P377" t="str">
            <v>232, 122, 17, Industria</v>
          </cell>
          <cell r="Q377" t="str">
            <v>Muestra comercial</v>
          </cell>
          <cell r="R377" t="str">
            <v>Bienestarina</v>
          </cell>
          <cell r="S377">
            <v>8.1999999999999993</v>
          </cell>
          <cell r="T377">
            <v>0.4</v>
          </cell>
          <cell r="U377" t="str">
            <v>b</v>
          </cell>
        </row>
        <row r="378">
          <cell r="A378">
            <v>1006</v>
          </cell>
          <cell r="B378" t="str">
            <v>Bienestarina sabor a chocolate</v>
          </cell>
          <cell r="C378" t="str">
            <v>Bienestarina</v>
          </cell>
          <cell r="D378" t="str">
            <v>Mezcla fortificada</v>
          </cell>
          <cell r="H378" t="str">
            <v>Mezcla harinas vegetales</v>
          </cell>
          <cell r="I378" t="str">
            <v>Adición leche en polvo descremada</v>
          </cell>
          <cell r="J378" t="str">
            <v>Enriquecimiento con vitaminas y minerales</v>
          </cell>
          <cell r="K378" t="str">
            <v>Saborizado</v>
          </cell>
          <cell r="P378" t="str">
            <v>Industria</v>
          </cell>
          <cell r="Q378" t="str">
            <v>Muestra comercial</v>
          </cell>
          <cell r="R378" t="str">
            <v>Bienestarina sabor a chocolate</v>
          </cell>
          <cell r="S378">
            <v>7.7</v>
          </cell>
          <cell r="T378">
            <v>0.2</v>
          </cell>
          <cell r="U378" t="str">
            <v>b</v>
          </cell>
        </row>
        <row r="379">
          <cell r="A379">
            <v>1007</v>
          </cell>
          <cell r="B379" t="str">
            <v>Bienestarina sabor a vainilla</v>
          </cell>
          <cell r="C379" t="str">
            <v>Bienestarina</v>
          </cell>
          <cell r="D379" t="str">
            <v>Mezcla fortificada</v>
          </cell>
          <cell r="H379" t="str">
            <v>Mezcla harinas vegetales</v>
          </cell>
          <cell r="I379" t="str">
            <v>Adición Leche en polvo descremada</v>
          </cell>
          <cell r="J379" t="str">
            <v>Enriquecimiento con vitaminas y minerales</v>
          </cell>
          <cell r="K379" t="str">
            <v>Saborizado</v>
          </cell>
          <cell r="P379" t="str">
            <v>Industria</v>
          </cell>
          <cell r="Q379" t="str">
            <v>Muestra comercial</v>
          </cell>
          <cell r="R379" t="str">
            <v>Bienestarina sabor a vainilla</v>
          </cell>
          <cell r="S379">
            <v>8</v>
          </cell>
          <cell r="T379">
            <v>0.3</v>
          </cell>
          <cell r="U379" t="str">
            <v>b</v>
          </cell>
        </row>
        <row r="380">
          <cell r="A380">
            <v>1011</v>
          </cell>
          <cell r="B380" t="str">
            <v>Gelatina</v>
          </cell>
          <cell r="C380" t="str">
            <v>Gelatina</v>
          </cell>
          <cell r="D380" t="str">
            <v>Con azúcar</v>
          </cell>
          <cell r="H380" t="str">
            <v>Pretratamiento del cuero</v>
          </cell>
          <cell r="I380" t="str">
            <v>Separación colágeno</v>
          </cell>
          <cell r="J380" t="str">
            <v>Esterilización y secado</v>
          </cell>
          <cell r="K380" t="str">
            <v>Molido</v>
          </cell>
          <cell r="P380" t="str">
            <v>232</v>
          </cell>
          <cell r="Q380" t="str">
            <v>No reporta</v>
          </cell>
          <cell r="R380" t="str">
            <v>Gelatina</v>
          </cell>
          <cell r="S380">
            <v>1.6</v>
          </cell>
          <cell r="U380" t="str">
            <v>c</v>
          </cell>
        </row>
        <row r="381">
          <cell r="A381">
            <v>1012</v>
          </cell>
          <cell r="B381" t="str">
            <v>Gelatina de pata</v>
          </cell>
          <cell r="C381" t="str">
            <v>Gelatina</v>
          </cell>
          <cell r="D381" t="str">
            <v>Pata</v>
          </cell>
          <cell r="H381" t="str">
            <v>Cocido</v>
          </cell>
          <cell r="I381" t="str">
            <v>Adición azúcar</v>
          </cell>
          <cell r="J381" t="str">
            <v>Batido</v>
          </cell>
          <cell r="P381" t="str">
            <v>232</v>
          </cell>
          <cell r="Q381" t="str">
            <v>No reporta</v>
          </cell>
          <cell r="R381" t="str">
            <v>Gelatina de pata</v>
          </cell>
          <cell r="S381">
            <v>18.5</v>
          </cell>
          <cell r="U381" t="str">
            <v>d</v>
          </cell>
        </row>
        <row r="382">
          <cell r="A382">
            <v>1060</v>
          </cell>
          <cell r="B382" t="str">
            <v>Arveja seca</v>
          </cell>
          <cell r="C382" t="str">
            <v>Arveja</v>
          </cell>
          <cell r="D382" t="str">
            <v>Seca</v>
          </cell>
          <cell r="F382" t="str">
            <v>Grano entero</v>
          </cell>
          <cell r="H382" t="str">
            <v>Lavado</v>
          </cell>
          <cell r="I382" t="str">
            <v>Secado</v>
          </cell>
          <cell r="L382" t="str">
            <v>Alverja</v>
          </cell>
          <cell r="M382" t="str">
            <v>Pisum</v>
          </cell>
          <cell r="N382" t="str">
            <v>sativum L,</v>
          </cell>
          <cell r="P382" t="str">
            <v>232</v>
          </cell>
          <cell r="Q382" t="str">
            <v>No reporta</v>
          </cell>
          <cell r="R382" t="str">
            <v>Arveja seca</v>
          </cell>
          <cell r="S382">
            <v>12.4</v>
          </cell>
          <cell r="U382" t="str">
            <v>c</v>
          </cell>
        </row>
        <row r="383">
          <cell r="A383">
            <v>1062</v>
          </cell>
          <cell r="B383" t="str">
            <v>Fríjol blanco seco</v>
          </cell>
          <cell r="C383" t="str">
            <v>Fríjol</v>
          </cell>
          <cell r="D383" t="str">
            <v>Blanco</v>
          </cell>
          <cell r="F383" t="str">
            <v>Grano entero</v>
          </cell>
          <cell r="H383" t="str">
            <v>Limpieza</v>
          </cell>
          <cell r="I383" t="str">
            <v>Secado</v>
          </cell>
          <cell r="M383" t="str">
            <v>Phaseolus</v>
          </cell>
          <cell r="N383" t="str">
            <v>vulgaris L,</v>
          </cell>
          <cell r="O383" t="str">
            <v>Blanco</v>
          </cell>
          <cell r="P383" t="str">
            <v>232</v>
          </cell>
          <cell r="Q383" t="str">
            <v>No reporta</v>
          </cell>
          <cell r="R383" t="str">
            <v>Fríjol blanco seco</v>
          </cell>
          <cell r="S383">
            <v>11.3</v>
          </cell>
          <cell r="U383" t="str">
            <v>c</v>
          </cell>
        </row>
        <row r="384">
          <cell r="A384">
            <v>1063</v>
          </cell>
          <cell r="B384" t="str">
            <v>Fríjol blanco</v>
          </cell>
          <cell r="C384" t="str">
            <v>Fríjol</v>
          </cell>
          <cell r="D384" t="str">
            <v>Blanco</v>
          </cell>
          <cell r="F384" t="str">
            <v>Grano entero</v>
          </cell>
          <cell r="H384" t="str">
            <v>Limpieza</v>
          </cell>
          <cell r="I384" t="str">
            <v>Secado</v>
          </cell>
          <cell r="L384" t="str">
            <v>Caupi</v>
          </cell>
          <cell r="M384" t="str">
            <v>Phaseolus</v>
          </cell>
          <cell r="N384" t="str">
            <v>vulgaris L,</v>
          </cell>
          <cell r="O384" t="str">
            <v>Blanco</v>
          </cell>
          <cell r="P384" t="str">
            <v>232</v>
          </cell>
          <cell r="Q384" t="str">
            <v>No reporta</v>
          </cell>
          <cell r="R384" t="str">
            <v>Fríjol blanco</v>
          </cell>
          <cell r="S384">
            <v>14.1</v>
          </cell>
          <cell r="U384" t="str">
            <v>d</v>
          </cell>
        </row>
        <row r="385">
          <cell r="A385">
            <v>1064</v>
          </cell>
          <cell r="B385" t="str">
            <v>Fríjol cabecita negra</v>
          </cell>
          <cell r="C385" t="str">
            <v>Fríjol</v>
          </cell>
          <cell r="D385" t="str">
            <v>Cabecita negra</v>
          </cell>
          <cell r="F385" t="str">
            <v>Grano entero</v>
          </cell>
          <cell r="H385" t="str">
            <v>Lavado</v>
          </cell>
          <cell r="I385" t="str">
            <v>Secado</v>
          </cell>
          <cell r="M385" t="str">
            <v>Vigna</v>
          </cell>
          <cell r="N385" t="str">
            <v>unguiculata</v>
          </cell>
          <cell r="O385" t="str">
            <v>Fríjol, cabecita negra</v>
          </cell>
          <cell r="P385" t="str">
            <v>232</v>
          </cell>
          <cell r="Q385" t="str">
            <v>No reporta</v>
          </cell>
          <cell r="R385" t="str">
            <v>Fríjol cabecita negra</v>
          </cell>
          <cell r="S385">
            <v>12.8</v>
          </cell>
          <cell r="U385" t="str">
            <v>d</v>
          </cell>
        </row>
        <row r="386">
          <cell r="A386">
            <v>1065</v>
          </cell>
          <cell r="B386" t="str">
            <v>Fríjol canavalia</v>
          </cell>
          <cell r="C386" t="str">
            <v>Fríjol</v>
          </cell>
          <cell r="D386" t="str">
            <v>Canavalia</v>
          </cell>
          <cell r="F386" t="str">
            <v>Fruto completo</v>
          </cell>
          <cell r="H386" t="str">
            <v>Lavado</v>
          </cell>
          <cell r="I386" t="str">
            <v>Macerado</v>
          </cell>
          <cell r="M386" t="str">
            <v>Phaseolus</v>
          </cell>
          <cell r="N386" t="str">
            <v>vulgaris</v>
          </cell>
          <cell r="O386" t="str">
            <v>Canavalia</v>
          </cell>
          <cell r="P386" t="str">
            <v>219</v>
          </cell>
          <cell r="Q386" t="str">
            <v>Cauca</v>
          </cell>
          <cell r="R386" t="str">
            <v>Fríjol canavalia</v>
          </cell>
          <cell r="S386">
            <v>15.2</v>
          </cell>
          <cell r="U386" t="str">
            <v>c</v>
          </cell>
        </row>
        <row r="387">
          <cell r="A387">
            <v>1066</v>
          </cell>
          <cell r="B387" t="str">
            <v>Fríjol caraota</v>
          </cell>
          <cell r="C387" t="str">
            <v>Fríjol</v>
          </cell>
          <cell r="D387" t="str">
            <v>Caraota</v>
          </cell>
          <cell r="F387" t="str">
            <v>Grano entero</v>
          </cell>
          <cell r="H387" t="str">
            <v>Limpieza</v>
          </cell>
          <cell r="M387" t="str">
            <v>Phaseolus</v>
          </cell>
          <cell r="N387" t="str">
            <v>vulgaris L,</v>
          </cell>
          <cell r="O387" t="str">
            <v>Caraota</v>
          </cell>
          <cell r="P387" t="str">
            <v>232</v>
          </cell>
          <cell r="Q387" t="str">
            <v>No reporta</v>
          </cell>
          <cell r="R387" t="str">
            <v>Fríjol caraota</v>
          </cell>
          <cell r="S387">
            <v>12.5</v>
          </cell>
          <cell r="U387" t="str">
            <v>d</v>
          </cell>
        </row>
        <row r="388">
          <cell r="A388">
            <v>1067</v>
          </cell>
          <cell r="B388" t="str">
            <v>Fríjol cargamanto</v>
          </cell>
          <cell r="C388" t="str">
            <v>Fríjol</v>
          </cell>
          <cell r="D388" t="str">
            <v>Cargamanto</v>
          </cell>
          <cell r="F388" t="str">
            <v>Grano entero</v>
          </cell>
          <cell r="H388" t="str">
            <v>Limpieza</v>
          </cell>
          <cell r="M388" t="str">
            <v>Phaseolus</v>
          </cell>
          <cell r="N388" t="str">
            <v>vulgaris L,</v>
          </cell>
          <cell r="O388" t="str">
            <v>Fríjol, cargamanto</v>
          </cell>
          <cell r="P388" t="str">
            <v>232</v>
          </cell>
          <cell r="Q388" t="str">
            <v>No reporta</v>
          </cell>
          <cell r="R388" t="str">
            <v>Fríjol cargamanto</v>
          </cell>
          <cell r="S388">
            <v>11.9</v>
          </cell>
          <cell r="U388" t="str">
            <v>d</v>
          </cell>
        </row>
        <row r="389">
          <cell r="A389">
            <v>1068</v>
          </cell>
          <cell r="B389" t="str">
            <v>Fríjol cargamanto rosado</v>
          </cell>
          <cell r="C389" t="str">
            <v>Fríjol</v>
          </cell>
          <cell r="D389" t="str">
            <v>Cargamanto rosado</v>
          </cell>
          <cell r="F389" t="str">
            <v>Grano entero</v>
          </cell>
          <cell r="H389" t="str">
            <v>Limpieza</v>
          </cell>
          <cell r="M389" t="str">
            <v>Phaseolus</v>
          </cell>
          <cell r="N389" t="str">
            <v>vulgaris L,</v>
          </cell>
          <cell r="O389" t="str">
            <v>Cargamanto rosado</v>
          </cell>
          <cell r="P389" t="str">
            <v>232</v>
          </cell>
          <cell r="Q389" t="str">
            <v>No reporta</v>
          </cell>
          <cell r="R389" t="str">
            <v>Fríjol cargamanto rosado</v>
          </cell>
          <cell r="S389">
            <v>11.9</v>
          </cell>
          <cell r="U389" t="str">
            <v>d</v>
          </cell>
        </row>
        <row r="390">
          <cell r="A390">
            <v>1069</v>
          </cell>
          <cell r="B390" t="str">
            <v>Fríjol guandul</v>
          </cell>
          <cell r="C390" t="str">
            <v>Guandul</v>
          </cell>
          <cell r="F390" t="str">
            <v>No reporta</v>
          </cell>
          <cell r="H390" t="str">
            <v>Limpieza</v>
          </cell>
          <cell r="M390" t="str">
            <v>Cajanus</v>
          </cell>
          <cell r="N390" t="str">
            <v>cajan</v>
          </cell>
          <cell r="P390" t="str">
            <v>232, 11</v>
          </cell>
          <cell r="Q390" t="str">
            <v>Muestra comercial</v>
          </cell>
          <cell r="R390" t="str">
            <v>Fríjol guandul</v>
          </cell>
          <cell r="S390">
            <v>14</v>
          </cell>
          <cell r="T390">
            <v>2.9</v>
          </cell>
          <cell r="U390" t="str">
            <v>c</v>
          </cell>
        </row>
        <row r="391">
          <cell r="A391">
            <v>1070</v>
          </cell>
          <cell r="B391" t="str">
            <v>Fríjol mungo</v>
          </cell>
          <cell r="C391" t="str">
            <v>Fríjol</v>
          </cell>
          <cell r="D391" t="str">
            <v>Mungo</v>
          </cell>
          <cell r="F391" t="str">
            <v>Grano entero</v>
          </cell>
          <cell r="H391" t="str">
            <v>Limpieza</v>
          </cell>
          <cell r="M391" t="str">
            <v>Phaseolus</v>
          </cell>
          <cell r="N391" t="str">
            <v>aureus</v>
          </cell>
          <cell r="O391" t="str">
            <v>M-90 India</v>
          </cell>
          <cell r="P391" t="str">
            <v>69</v>
          </cell>
          <cell r="Q391" t="str">
            <v>Valle del Cauca</v>
          </cell>
          <cell r="R391" t="str">
            <v>Fríjol mungo</v>
          </cell>
          <cell r="S391">
            <v>10.9</v>
          </cell>
          <cell r="U391" t="str">
            <v>c</v>
          </cell>
        </row>
        <row r="392">
          <cell r="A392">
            <v>1080</v>
          </cell>
          <cell r="B392" t="str">
            <v>Fríjol nima</v>
          </cell>
          <cell r="C392" t="str">
            <v>Fríjol</v>
          </cell>
          <cell r="D392" t="str">
            <v>Nima</v>
          </cell>
          <cell r="F392" t="str">
            <v>Grano entero</v>
          </cell>
          <cell r="H392" t="str">
            <v>Limpieza</v>
          </cell>
          <cell r="L392" t="str">
            <v>Calima, f, rojo oriental</v>
          </cell>
          <cell r="M392" t="str">
            <v>Phasiolus</v>
          </cell>
          <cell r="N392" t="str">
            <v>lunatus</v>
          </cell>
          <cell r="O392" t="str">
            <v>Nima</v>
          </cell>
          <cell r="P392" t="str">
            <v>232</v>
          </cell>
          <cell r="Q392" t="str">
            <v>No reporta</v>
          </cell>
          <cell r="R392" t="str">
            <v>Fríjol nima</v>
          </cell>
          <cell r="S392">
            <v>14.8</v>
          </cell>
          <cell r="U392" t="str">
            <v>d</v>
          </cell>
        </row>
        <row r="393">
          <cell r="A393">
            <v>1081</v>
          </cell>
          <cell r="B393" t="str">
            <v>Fríjol radical</v>
          </cell>
          <cell r="C393" t="str">
            <v>Fríjol</v>
          </cell>
          <cell r="D393" t="str">
            <v>Radical</v>
          </cell>
          <cell r="F393" t="str">
            <v>Grano entero</v>
          </cell>
          <cell r="H393" t="str">
            <v>Limpieza</v>
          </cell>
          <cell r="M393" t="str">
            <v>Phasiolus</v>
          </cell>
          <cell r="N393" t="str">
            <v>vulgaris</v>
          </cell>
          <cell r="O393" t="str">
            <v>Radical</v>
          </cell>
          <cell r="P393" t="str">
            <v>232</v>
          </cell>
          <cell r="Q393" t="str">
            <v>No reporta</v>
          </cell>
          <cell r="R393" t="str">
            <v>Fríjol radical</v>
          </cell>
          <cell r="S393">
            <v>12.4</v>
          </cell>
          <cell r="U393" t="str">
            <v>d</v>
          </cell>
        </row>
        <row r="394">
          <cell r="A394">
            <v>1082</v>
          </cell>
          <cell r="B394" t="str">
            <v>Fríjol rojo</v>
          </cell>
          <cell r="C394" t="str">
            <v>Fríjol</v>
          </cell>
          <cell r="D394" t="str">
            <v>Rojo</v>
          </cell>
          <cell r="F394" t="str">
            <v>Grano entero</v>
          </cell>
          <cell r="H394" t="str">
            <v>Molido</v>
          </cell>
          <cell r="I394" t="str">
            <v>Homogenización</v>
          </cell>
          <cell r="M394" t="str">
            <v>Phaseolus</v>
          </cell>
          <cell r="N394" t="str">
            <v>vulgaris</v>
          </cell>
          <cell r="O394" t="str">
            <v>Rojo</v>
          </cell>
          <cell r="P394" t="str">
            <v>232,169, 252</v>
          </cell>
          <cell r="Q394" t="str">
            <v>No reporta</v>
          </cell>
          <cell r="R394" t="str">
            <v>Fríjol rojo</v>
          </cell>
          <cell r="S394">
            <v>14.8</v>
          </cell>
          <cell r="U394" t="str">
            <v>c</v>
          </cell>
        </row>
        <row r="395">
          <cell r="A395">
            <v>1083</v>
          </cell>
          <cell r="B395" t="str">
            <v>Fríjol sangretoro</v>
          </cell>
          <cell r="C395" t="str">
            <v>Fríjol</v>
          </cell>
          <cell r="D395" t="str">
            <v>Sangretoro</v>
          </cell>
          <cell r="F395" t="str">
            <v>Grano entero</v>
          </cell>
          <cell r="H395" t="str">
            <v>Limpieza</v>
          </cell>
          <cell r="M395" t="str">
            <v>Phasiolus</v>
          </cell>
          <cell r="N395" t="str">
            <v>vulgaris</v>
          </cell>
          <cell r="O395" t="str">
            <v>Sangretoro</v>
          </cell>
          <cell r="P395" t="str">
            <v>232</v>
          </cell>
          <cell r="Q395" t="str">
            <v>No reporta</v>
          </cell>
          <cell r="R395" t="str">
            <v>Fríjol sangretoro</v>
          </cell>
          <cell r="S395">
            <v>13.5</v>
          </cell>
          <cell r="U395" t="str">
            <v>d</v>
          </cell>
        </row>
        <row r="396">
          <cell r="A396">
            <v>1084</v>
          </cell>
          <cell r="B396" t="str">
            <v>Fríjol verde</v>
          </cell>
          <cell r="C396" t="str">
            <v>Fríjol</v>
          </cell>
          <cell r="D396" t="str">
            <v>Verde</v>
          </cell>
          <cell r="F396" t="str">
            <v>Grano entero</v>
          </cell>
          <cell r="H396" t="str">
            <v>Limpieza</v>
          </cell>
          <cell r="M396" t="str">
            <v>Phasiolus</v>
          </cell>
          <cell r="N396" t="str">
            <v>vulgaris L,</v>
          </cell>
          <cell r="P396" t="str">
            <v>232</v>
          </cell>
          <cell r="Q396" t="str">
            <v>No reporta</v>
          </cell>
          <cell r="R396" t="str">
            <v>Fríjol verde</v>
          </cell>
          <cell r="S396">
            <v>58.2</v>
          </cell>
          <cell r="U396" t="str">
            <v>c</v>
          </cell>
        </row>
        <row r="397">
          <cell r="A397">
            <v>1085</v>
          </cell>
          <cell r="B397" t="str">
            <v>Garbanzo</v>
          </cell>
          <cell r="C397" t="str">
            <v>Garbanzo</v>
          </cell>
          <cell r="F397" t="str">
            <v>Grano entero</v>
          </cell>
          <cell r="H397" t="str">
            <v>Limpieza</v>
          </cell>
          <cell r="M397" t="str">
            <v>Cicer</v>
          </cell>
          <cell r="N397" t="str">
            <v xml:space="preserve"> arietinum</v>
          </cell>
          <cell r="P397" t="str">
            <v>232, 252</v>
          </cell>
          <cell r="Q397" t="str">
            <v>No reporta</v>
          </cell>
          <cell r="R397" t="str">
            <v>Garbanzo</v>
          </cell>
          <cell r="S397">
            <v>13</v>
          </cell>
          <cell r="U397" t="str">
            <v>c</v>
          </cell>
        </row>
        <row r="398">
          <cell r="A398">
            <v>1086</v>
          </cell>
          <cell r="B398" t="str">
            <v>Haba verde</v>
          </cell>
          <cell r="C398" t="str">
            <v>Haba</v>
          </cell>
          <cell r="F398" t="str">
            <v>Grano entero</v>
          </cell>
          <cell r="G398" t="str">
            <v>Verde</v>
          </cell>
          <cell r="H398" t="str">
            <v>Descascarillado</v>
          </cell>
          <cell r="M398" t="str">
            <v>Vicia</v>
          </cell>
          <cell r="N398" t="str">
            <v>faba L,</v>
          </cell>
          <cell r="P398" t="str">
            <v>232</v>
          </cell>
          <cell r="Q398" t="str">
            <v>No reporta</v>
          </cell>
          <cell r="R398" t="str">
            <v>Haba verde</v>
          </cell>
          <cell r="S398">
            <v>65.7</v>
          </cell>
          <cell r="U398" t="str">
            <v>d</v>
          </cell>
        </row>
        <row r="399">
          <cell r="A399">
            <v>1087</v>
          </cell>
          <cell r="B399" t="str">
            <v>Haba</v>
          </cell>
          <cell r="C399" t="str">
            <v>Haba</v>
          </cell>
          <cell r="F399" t="str">
            <v>Grano entero</v>
          </cell>
          <cell r="H399" t="str">
            <v>Limpieza</v>
          </cell>
          <cell r="M399" t="str">
            <v>Vivia</v>
          </cell>
          <cell r="N399" t="str">
            <v>faba L,</v>
          </cell>
          <cell r="P399" t="str">
            <v>232</v>
          </cell>
          <cell r="Q399" t="str">
            <v>No reporta</v>
          </cell>
          <cell r="R399" t="str">
            <v>Haba</v>
          </cell>
          <cell r="S399">
            <v>14</v>
          </cell>
          <cell r="U399" t="str">
            <v>c</v>
          </cell>
        </row>
        <row r="400">
          <cell r="A400">
            <v>1095</v>
          </cell>
          <cell r="B400" t="str">
            <v>Lenteja</v>
          </cell>
          <cell r="C400" t="str">
            <v>Lenteja</v>
          </cell>
          <cell r="F400" t="str">
            <v>Grano entero</v>
          </cell>
          <cell r="H400" t="str">
            <v>Limpieza</v>
          </cell>
          <cell r="M400" t="str">
            <v>Lens</v>
          </cell>
          <cell r="N400" t="str">
            <v>esculenta</v>
          </cell>
          <cell r="P400" t="str">
            <v>232</v>
          </cell>
          <cell r="Q400" t="str">
            <v>No reporta</v>
          </cell>
          <cell r="R400" t="str">
            <v>Lenteja</v>
          </cell>
          <cell r="S400">
            <v>12.6</v>
          </cell>
          <cell r="U400" t="str">
            <v>c</v>
          </cell>
        </row>
        <row r="401">
          <cell r="A401">
            <v>1097</v>
          </cell>
          <cell r="B401" t="str">
            <v>Lenteja real</v>
          </cell>
          <cell r="C401" t="str">
            <v>Lenteja</v>
          </cell>
          <cell r="D401" t="str">
            <v>Real</v>
          </cell>
          <cell r="F401" t="str">
            <v>Grano entero</v>
          </cell>
          <cell r="H401" t="str">
            <v>Limpieza</v>
          </cell>
          <cell r="M401" t="str">
            <v>Lens</v>
          </cell>
          <cell r="N401" t="str">
            <v>esculenta L, culinaris</v>
          </cell>
          <cell r="P401" t="str">
            <v>232</v>
          </cell>
          <cell r="Q401" t="str">
            <v>No reporta</v>
          </cell>
          <cell r="R401" t="str">
            <v>Lenteja real</v>
          </cell>
          <cell r="S401">
            <v>11.8</v>
          </cell>
          <cell r="U401" t="str">
            <v>d</v>
          </cell>
        </row>
        <row r="402">
          <cell r="A402">
            <v>1098</v>
          </cell>
          <cell r="B402" t="str">
            <v>Maní</v>
          </cell>
          <cell r="C402" t="str">
            <v>Maní</v>
          </cell>
          <cell r="F402" t="str">
            <v>Grano entero</v>
          </cell>
          <cell r="H402" t="str">
            <v>Lavado</v>
          </cell>
          <cell r="I402" t="str">
            <v>Secado</v>
          </cell>
          <cell r="J402" t="str">
            <v>Tostado</v>
          </cell>
          <cell r="L402" t="str">
            <v>Cacahuate</v>
          </cell>
          <cell r="M402" t="str">
            <v>Arachis</v>
          </cell>
          <cell r="N402" t="str">
            <v>hypogaea L,</v>
          </cell>
          <cell r="P402" t="str">
            <v>232</v>
          </cell>
          <cell r="Q402" t="str">
            <v>No reporta</v>
          </cell>
          <cell r="R402" t="str">
            <v>Maní</v>
          </cell>
          <cell r="S402">
            <v>4.8</v>
          </cell>
          <cell r="U402" t="str">
            <v>d</v>
          </cell>
        </row>
        <row r="403">
          <cell r="A403">
            <v>1100</v>
          </cell>
          <cell r="B403" t="str">
            <v>Maní tostado</v>
          </cell>
          <cell r="C403" t="str">
            <v>Maní</v>
          </cell>
          <cell r="F403" t="str">
            <v>Grano entero</v>
          </cell>
          <cell r="H403" t="str">
            <v>Limpieza</v>
          </cell>
          <cell r="L403" t="str">
            <v>Cacahuate</v>
          </cell>
          <cell r="M403" t="str">
            <v>Arachis</v>
          </cell>
          <cell r="N403" t="str">
            <v>hypogaea L,</v>
          </cell>
          <cell r="P403" t="str">
            <v>232</v>
          </cell>
          <cell r="Q403" t="str">
            <v>No reporta</v>
          </cell>
          <cell r="R403" t="str">
            <v>Maní tostado</v>
          </cell>
          <cell r="S403">
            <v>2.7</v>
          </cell>
          <cell r="U403" t="str">
            <v>d</v>
          </cell>
        </row>
        <row r="404">
          <cell r="A404">
            <v>1105</v>
          </cell>
          <cell r="B404" t="str">
            <v>Arroz cocido</v>
          </cell>
          <cell r="C404" t="str">
            <v>Arroz cocido</v>
          </cell>
          <cell r="D404" t="str">
            <v>Arroz</v>
          </cell>
          <cell r="F404" t="str">
            <v>Grano entero</v>
          </cell>
          <cell r="H404" t="str">
            <v>Descascarillado</v>
          </cell>
          <cell r="I404" t="str">
            <v>Pulido</v>
          </cell>
          <cell r="J404" t="str">
            <v>Cocido</v>
          </cell>
          <cell r="L404" t="str">
            <v>Arroz blanco</v>
          </cell>
        </row>
        <row r="405">
          <cell r="A405">
            <v>1106</v>
          </cell>
          <cell r="B405" t="str">
            <v>Pechuga de pollo frita</v>
          </cell>
        </row>
        <row r="406">
          <cell r="A406">
            <v>1107</v>
          </cell>
          <cell r="B406" t="str">
            <v>Pechuga de pollo asada</v>
          </cell>
        </row>
        <row r="407">
          <cell r="A407">
            <v>1108</v>
          </cell>
          <cell r="B407" t="str">
            <v>Pechuga de pollo cocida</v>
          </cell>
        </row>
        <row r="408">
          <cell r="A408">
            <v>1109</v>
          </cell>
          <cell r="B408" t="str">
            <v>Pierna pernil de pollo frita</v>
          </cell>
        </row>
        <row r="409">
          <cell r="A409">
            <v>1110</v>
          </cell>
          <cell r="B409" t="str">
            <v>Pierna pernil de pollo asada</v>
          </cell>
        </row>
        <row r="410">
          <cell r="A410">
            <v>1111</v>
          </cell>
          <cell r="B410" t="str">
            <v>Pierna pernil de pollo cocida</v>
          </cell>
        </row>
        <row r="411">
          <cell r="A411">
            <v>1112</v>
          </cell>
          <cell r="B411" t="str">
            <v>Huevo de gallina tibio</v>
          </cell>
        </row>
        <row r="412">
          <cell r="A412">
            <v>1113</v>
          </cell>
          <cell r="B412" t="str">
            <v>Huevo de gallina revuelto</v>
          </cell>
        </row>
        <row r="413">
          <cell r="A413">
            <v>1114</v>
          </cell>
          <cell r="B413" t="str">
            <v>Huevo de gallina crudo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9.emf"/><Relationship Id="rId15" Type="http://schemas.openxmlformats.org/officeDocument/2006/relationships/ctrlProp" Target="../ctrlProps/ctrlProp6.xml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5.xml"/><Relationship Id="rId9" Type="http://schemas.openxmlformats.org/officeDocument/2006/relationships/image" Target="../media/image11.emf"/><Relationship Id="rId1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C0B9E-7FDD-4E31-9A07-48B652588C7C}">
  <sheetPr codeName="Hoja13"/>
  <dimension ref="A1:J50"/>
  <sheetViews>
    <sheetView view="pageBreakPreview" zoomScale="60" zoomScaleNormal="100" workbookViewId="0">
      <selection activeCell="I74" sqref="I74"/>
    </sheetView>
  </sheetViews>
  <sheetFormatPr baseColWidth="10" defaultRowHeight="15"/>
  <cols>
    <col min="1" max="1" width="8.7109375" customWidth="1"/>
    <col min="2" max="2" width="3" customWidth="1"/>
    <col min="3" max="3" width="9.85546875" customWidth="1"/>
    <col min="4" max="4" width="3" customWidth="1"/>
    <col min="5" max="5" width="34.85546875" customWidth="1"/>
    <col min="6" max="9" width="11.140625" customWidth="1"/>
    <col min="10" max="10" width="48.28515625" customWidth="1"/>
  </cols>
  <sheetData>
    <row r="1" spans="1:10" ht="33.75" customHeight="1">
      <c r="C1" s="176" t="s">
        <v>252</v>
      </c>
      <c r="D1" s="177"/>
      <c r="E1" s="177"/>
      <c r="F1" s="177"/>
      <c r="G1" s="177"/>
      <c r="H1" s="177"/>
      <c r="I1" s="177"/>
      <c r="J1" s="177"/>
    </row>
    <row r="2" spans="1:10" ht="9.75" customHeight="1" thickBot="1">
      <c r="C2" s="136"/>
      <c r="D2" s="137"/>
      <c r="E2" s="137"/>
      <c r="F2" s="137"/>
      <c r="G2" s="137"/>
      <c r="H2" s="137"/>
      <c r="I2" s="137"/>
      <c r="J2" s="137"/>
    </row>
    <row r="3" spans="1:10" ht="15.75" thickBot="1">
      <c r="C3" s="154" t="s">
        <v>34</v>
      </c>
      <c r="D3" s="155" t="s">
        <v>253</v>
      </c>
      <c r="E3" s="156" t="s">
        <v>254</v>
      </c>
      <c r="F3" s="178" t="s">
        <v>255</v>
      </c>
      <c r="G3" s="179"/>
      <c r="H3" s="180"/>
      <c r="I3" s="138"/>
      <c r="J3" s="139" t="s">
        <v>256</v>
      </c>
    </row>
    <row r="4" spans="1:10" ht="15.75" thickBot="1">
      <c r="C4" s="157"/>
      <c r="D4" s="158"/>
      <c r="E4" s="159" t="s">
        <v>257</v>
      </c>
      <c r="F4" s="140" t="s">
        <v>258</v>
      </c>
      <c r="G4" s="141" t="s">
        <v>259</v>
      </c>
      <c r="H4" s="142" t="s">
        <v>260</v>
      </c>
      <c r="I4" s="143"/>
      <c r="J4" s="144" t="s">
        <v>261</v>
      </c>
    </row>
    <row r="5" spans="1:10" ht="8.25" customHeight="1">
      <c r="C5" s="175"/>
      <c r="D5" s="175"/>
      <c r="E5" s="175"/>
      <c r="F5" s="175"/>
      <c r="G5" s="175"/>
      <c r="H5" s="175"/>
      <c r="I5" s="175"/>
      <c r="J5" s="175"/>
    </row>
    <row r="6" spans="1:10">
      <c r="A6" s="147" t="s">
        <v>262</v>
      </c>
      <c r="B6" s="147"/>
      <c r="C6" s="181" t="s">
        <v>263</v>
      </c>
      <c r="D6" s="181"/>
      <c r="E6" s="147" t="s">
        <v>264</v>
      </c>
      <c r="F6" s="145" t="s">
        <v>265</v>
      </c>
      <c r="G6" s="146" t="s">
        <v>266</v>
      </c>
      <c r="H6" s="145" t="s">
        <v>267</v>
      </c>
      <c r="I6" s="145" t="s">
        <v>268</v>
      </c>
      <c r="J6" s="147" t="s">
        <v>269</v>
      </c>
    </row>
    <row r="7" spans="1:10" ht="10.5" customHeight="1">
      <c r="A7" s="148" t="s">
        <v>283</v>
      </c>
      <c r="B7" s="148"/>
      <c r="C7" s="160" t="s">
        <v>284</v>
      </c>
      <c r="D7" s="161"/>
      <c r="E7" s="161"/>
      <c r="F7" s="150" t="s">
        <v>279</v>
      </c>
      <c r="G7" s="150"/>
      <c r="H7" s="150" t="s">
        <v>279</v>
      </c>
      <c r="I7" s="151"/>
      <c r="J7" s="182"/>
    </row>
    <row r="8" spans="1:10" ht="10.5" customHeight="1">
      <c r="A8" s="148" t="s">
        <v>285</v>
      </c>
      <c r="B8" s="148"/>
      <c r="C8" s="160" t="s">
        <v>286</v>
      </c>
      <c r="D8" s="161"/>
      <c r="E8" s="162"/>
      <c r="F8" s="163" t="s">
        <v>279</v>
      </c>
      <c r="G8" s="163"/>
      <c r="H8" s="163" t="s">
        <v>279</v>
      </c>
      <c r="I8" s="164"/>
      <c r="J8" s="182"/>
    </row>
    <row r="9" spans="1:10" ht="10.5" customHeight="1">
      <c r="A9" s="148" t="s">
        <v>18</v>
      </c>
      <c r="B9" s="148"/>
      <c r="C9" s="160" t="s">
        <v>287</v>
      </c>
      <c r="D9" s="161"/>
      <c r="E9" s="161"/>
      <c r="F9" s="150" t="s">
        <v>279</v>
      </c>
      <c r="G9" s="150"/>
      <c r="H9" s="150" t="s">
        <v>279</v>
      </c>
      <c r="I9" s="151"/>
      <c r="J9" s="182"/>
    </row>
    <row r="10" spans="1:10" ht="10.5" customHeight="1">
      <c r="A10" s="148" t="s">
        <v>13</v>
      </c>
      <c r="B10" s="148"/>
      <c r="C10" s="160" t="s">
        <v>288</v>
      </c>
      <c r="D10" s="161"/>
      <c r="E10" s="162"/>
      <c r="F10" s="163" t="s">
        <v>279</v>
      </c>
      <c r="G10" s="163"/>
      <c r="H10" s="163" t="s">
        <v>279</v>
      </c>
      <c r="I10" s="164"/>
      <c r="J10" s="182"/>
    </row>
    <row r="11" spans="1:10" ht="10.5" customHeight="1">
      <c r="A11" s="148"/>
      <c r="B11" s="148"/>
      <c r="C11" s="160" t="s">
        <v>289</v>
      </c>
      <c r="D11" s="161"/>
      <c r="E11" s="161"/>
      <c r="F11" s="150" t="s">
        <v>279</v>
      </c>
      <c r="G11" s="150"/>
      <c r="H11" s="150" t="s">
        <v>279</v>
      </c>
      <c r="I11" s="151"/>
      <c r="J11" s="182"/>
    </row>
    <row r="12" spans="1:10" ht="8.25" customHeight="1">
      <c r="C12" s="175"/>
      <c r="D12" s="175"/>
      <c r="E12" s="175"/>
      <c r="F12" s="175"/>
      <c r="G12" s="175"/>
      <c r="H12" s="175"/>
      <c r="I12" s="175"/>
      <c r="J12" s="175"/>
    </row>
    <row r="13" spans="1:10">
      <c r="A13" s="147" t="s">
        <v>262</v>
      </c>
      <c r="B13" s="147"/>
      <c r="C13" s="181" t="s">
        <v>263</v>
      </c>
      <c r="D13" s="181"/>
      <c r="E13" s="147" t="s">
        <v>264</v>
      </c>
      <c r="F13" s="145" t="s">
        <v>265</v>
      </c>
      <c r="G13" s="146" t="s">
        <v>266</v>
      </c>
      <c r="H13" s="145" t="s">
        <v>267</v>
      </c>
      <c r="I13" s="145" t="s">
        <v>268</v>
      </c>
      <c r="J13" s="147" t="s">
        <v>269</v>
      </c>
    </row>
    <row r="14" spans="1:10" ht="10.5" customHeight="1">
      <c r="A14" s="148" t="s">
        <v>283</v>
      </c>
      <c r="B14" s="148"/>
      <c r="C14" s="160" t="s">
        <v>284</v>
      </c>
      <c r="D14" s="161"/>
      <c r="E14" s="161"/>
      <c r="F14" s="150" t="s">
        <v>279</v>
      </c>
      <c r="G14" s="150"/>
      <c r="H14" s="150" t="s">
        <v>279</v>
      </c>
      <c r="I14" s="151"/>
      <c r="J14" s="182"/>
    </row>
    <row r="15" spans="1:10" ht="10.5" customHeight="1">
      <c r="A15" s="148" t="s">
        <v>285</v>
      </c>
      <c r="B15" s="148"/>
      <c r="C15" s="160" t="s">
        <v>286</v>
      </c>
      <c r="D15" s="161"/>
      <c r="E15" s="162"/>
      <c r="F15" s="163" t="s">
        <v>279</v>
      </c>
      <c r="G15" s="163"/>
      <c r="H15" s="163" t="s">
        <v>279</v>
      </c>
      <c r="I15" s="164"/>
      <c r="J15" s="182"/>
    </row>
    <row r="16" spans="1:10" ht="10.5" customHeight="1">
      <c r="A16" s="148" t="s">
        <v>18</v>
      </c>
      <c r="B16" s="148"/>
      <c r="C16" s="160" t="s">
        <v>287</v>
      </c>
      <c r="D16" s="161"/>
      <c r="E16" s="161"/>
      <c r="F16" s="150" t="s">
        <v>279</v>
      </c>
      <c r="G16" s="150"/>
      <c r="H16" s="150" t="s">
        <v>279</v>
      </c>
      <c r="I16" s="151"/>
      <c r="J16" s="182"/>
    </row>
    <row r="17" spans="1:10" ht="10.5" customHeight="1">
      <c r="A17" s="148" t="s">
        <v>13</v>
      </c>
      <c r="B17" s="148"/>
      <c r="C17" s="160" t="s">
        <v>288</v>
      </c>
      <c r="D17" s="161"/>
      <c r="E17" s="162"/>
      <c r="F17" s="163" t="s">
        <v>279</v>
      </c>
      <c r="G17" s="163"/>
      <c r="H17" s="163" t="s">
        <v>279</v>
      </c>
      <c r="I17" s="164"/>
      <c r="J17" s="182"/>
    </row>
    <row r="18" spans="1:10" ht="10.5" customHeight="1">
      <c r="A18" s="148"/>
      <c r="B18" s="148"/>
      <c r="C18" s="160" t="s">
        <v>289</v>
      </c>
      <c r="D18" s="161"/>
      <c r="E18" s="161"/>
      <c r="F18" s="150" t="s">
        <v>279</v>
      </c>
      <c r="G18" s="150"/>
      <c r="H18" s="150" t="s">
        <v>279</v>
      </c>
      <c r="I18" s="151"/>
      <c r="J18" s="182"/>
    </row>
    <row r="19" spans="1:10" ht="8.25" customHeight="1">
      <c r="C19" s="175"/>
      <c r="D19" s="175"/>
      <c r="E19" s="175"/>
      <c r="F19" s="175"/>
      <c r="G19" s="175"/>
      <c r="H19" s="175"/>
      <c r="I19" s="175"/>
      <c r="J19" s="175"/>
    </row>
    <row r="20" spans="1:10">
      <c r="A20" s="147" t="s">
        <v>262</v>
      </c>
      <c r="B20" s="147"/>
      <c r="C20" s="181" t="s">
        <v>263</v>
      </c>
      <c r="D20" s="181"/>
      <c r="E20" s="147" t="s">
        <v>264</v>
      </c>
      <c r="F20" s="145" t="s">
        <v>265</v>
      </c>
      <c r="G20" s="146" t="s">
        <v>266</v>
      </c>
      <c r="H20" s="145" t="s">
        <v>267</v>
      </c>
      <c r="I20" s="145" t="s">
        <v>268</v>
      </c>
      <c r="J20" s="147" t="s">
        <v>269</v>
      </c>
    </row>
    <row r="21" spans="1:10" ht="10.5" customHeight="1">
      <c r="A21" s="148" t="s">
        <v>283</v>
      </c>
      <c r="B21" s="148"/>
      <c r="C21" s="160" t="s">
        <v>284</v>
      </c>
      <c r="D21" s="161"/>
      <c r="E21" s="161"/>
      <c r="F21" s="150" t="s">
        <v>279</v>
      </c>
      <c r="G21" s="150"/>
      <c r="H21" s="150" t="s">
        <v>279</v>
      </c>
      <c r="I21" s="151"/>
      <c r="J21" s="182"/>
    </row>
    <row r="22" spans="1:10" ht="10.5" customHeight="1">
      <c r="A22" s="148" t="s">
        <v>285</v>
      </c>
      <c r="B22" s="148"/>
      <c r="C22" s="160" t="s">
        <v>286</v>
      </c>
      <c r="D22" s="161"/>
      <c r="E22" s="162"/>
      <c r="F22" s="163" t="s">
        <v>279</v>
      </c>
      <c r="G22" s="163"/>
      <c r="H22" s="163" t="s">
        <v>279</v>
      </c>
      <c r="I22" s="164"/>
      <c r="J22" s="182"/>
    </row>
    <row r="23" spans="1:10" ht="10.5" customHeight="1">
      <c r="A23" s="148" t="s">
        <v>18</v>
      </c>
      <c r="B23" s="148"/>
      <c r="C23" s="160" t="s">
        <v>287</v>
      </c>
      <c r="D23" s="161"/>
      <c r="E23" s="161"/>
      <c r="F23" s="150" t="s">
        <v>279</v>
      </c>
      <c r="G23" s="150"/>
      <c r="H23" s="150" t="s">
        <v>279</v>
      </c>
      <c r="I23" s="151"/>
      <c r="J23" s="182"/>
    </row>
    <row r="24" spans="1:10" ht="10.5" customHeight="1">
      <c r="A24" s="148" t="s">
        <v>13</v>
      </c>
      <c r="B24" s="148"/>
      <c r="C24" s="160" t="s">
        <v>288</v>
      </c>
      <c r="D24" s="161"/>
      <c r="E24" s="162"/>
      <c r="F24" s="163" t="s">
        <v>279</v>
      </c>
      <c r="G24" s="163"/>
      <c r="H24" s="163" t="s">
        <v>279</v>
      </c>
      <c r="I24" s="164"/>
      <c r="J24" s="182"/>
    </row>
    <row r="25" spans="1:10" ht="10.5" customHeight="1">
      <c r="A25" s="148"/>
      <c r="B25" s="148"/>
      <c r="C25" s="160" t="s">
        <v>289</v>
      </c>
      <c r="D25" s="161"/>
      <c r="E25" s="161"/>
      <c r="F25" s="150" t="s">
        <v>279</v>
      </c>
      <c r="G25" s="150"/>
      <c r="H25" s="150" t="s">
        <v>279</v>
      </c>
      <c r="I25" s="151"/>
      <c r="J25" s="182"/>
    </row>
    <row r="26" spans="1:10" ht="8.25" customHeight="1">
      <c r="C26" s="175"/>
      <c r="D26" s="175"/>
      <c r="E26" s="175"/>
      <c r="F26" s="175"/>
      <c r="G26" s="175"/>
      <c r="H26" s="175"/>
      <c r="I26" s="175"/>
      <c r="J26" s="175"/>
    </row>
    <row r="27" spans="1:10">
      <c r="A27" s="147" t="s">
        <v>262</v>
      </c>
      <c r="B27" s="147"/>
      <c r="C27" s="181" t="s">
        <v>263</v>
      </c>
      <c r="D27" s="181"/>
      <c r="E27" s="147" t="s">
        <v>264</v>
      </c>
      <c r="F27" s="145" t="s">
        <v>265</v>
      </c>
      <c r="G27" s="146" t="s">
        <v>266</v>
      </c>
      <c r="H27" s="145" t="s">
        <v>267</v>
      </c>
      <c r="I27" s="145" t="s">
        <v>268</v>
      </c>
      <c r="J27" s="147" t="s">
        <v>269</v>
      </c>
    </row>
    <row r="28" spans="1:10" ht="10.5" customHeight="1">
      <c r="A28" s="148" t="s">
        <v>283</v>
      </c>
      <c r="B28" s="148"/>
      <c r="C28" s="160" t="s">
        <v>284</v>
      </c>
      <c r="D28" s="161"/>
      <c r="E28" s="161"/>
      <c r="F28" s="150" t="s">
        <v>279</v>
      </c>
      <c r="G28" s="150"/>
      <c r="H28" s="150" t="s">
        <v>279</v>
      </c>
      <c r="I28" s="151"/>
      <c r="J28" s="182"/>
    </row>
    <row r="29" spans="1:10" ht="10.5" customHeight="1">
      <c r="A29" s="148" t="s">
        <v>285</v>
      </c>
      <c r="B29" s="148"/>
      <c r="C29" s="160" t="s">
        <v>286</v>
      </c>
      <c r="D29" s="161"/>
      <c r="E29" s="162"/>
      <c r="F29" s="163" t="s">
        <v>279</v>
      </c>
      <c r="G29" s="163"/>
      <c r="H29" s="163" t="s">
        <v>279</v>
      </c>
      <c r="I29" s="164"/>
      <c r="J29" s="182"/>
    </row>
    <row r="30" spans="1:10" ht="10.5" customHeight="1">
      <c r="A30" s="148" t="s">
        <v>18</v>
      </c>
      <c r="B30" s="148"/>
      <c r="C30" s="160" t="s">
        <v>287</v>
      </c>
      <c r="D30" s="161"/>
      <c r="E30" s="161"/>
      <c r="F30" s="150" t="s">
        <v>279</v>
      </c>
      <c r="G30" s="150"/>
      <c r="H30" s="150" t="s">
        <v>279</v>
      </c>
      <c r="I30" s="151"/>
      <c r="J30" s="182"/>
    </row>
    <row r="31" spans="1:10" ht="10.5" customHeight="1">
      <c r="A31" s="148" t="s">
        <v>13</v>
      </c>
      <c r="B31" s="148"/>
      <c r="C31" s="160" t="s">
        <v>288</v>
      </c>
      <c r="D31" s="161"/>
      <c r="E31" s="162"/>
      <c r="F31" s="163" t="s">
        <v>279</v>
      </c>
      <c r="G31" s="163"/>
      <c r="H31" s="163" t="s">
        <v>279</v>
      </c>
      <c r="I31" s="164"/>
      <c r="J31" s="182"/>
    </row>
    <row r="32" spans="1:10" ht="10.5" customHeight="1">
      <c r="A32" s="148"/>
      <c r="B32" s="148"/>
      <c r="C32" s="160" t="s">
        <v>289</v>
      </c>
      <c r="D32" s="161"/>
      <c r="E32" s="161"/>
      <c r="F32" s="150" t="s">
        <v>279</v>
      </c>
      <c r="G32" s="150"/>
      <c r="H32" s="150" t="s">
        <v>279</v>
      </c>
      <c r="I32" s="151"/>
      <c r="J32" s="182"/>
    </row>
    <row r="33" spans="1:10" ht="8.25" customHeight="1">
      <c r="C33" s="175"/>
      <c r="D33" s="175"/>
      <c r="E33" s="175"/>
      <c r="F33" s="175"/>
      <c r="G33" s="175"/>
      <c r="H33" s="175"/>
      <c r="I33" s="175"/>
      <c r="J33" s="175"/>
    </row>
    <row r="34" spans="1:10">
      <c r="A34" s="147" t="s">
        <v>262</v>
      </c>
      <c r="B34" s="147"/>
      <c r="C34" s="181" t="s">
        <v>263</v>
      </c>
      <c r="D34" s="181"/>
      <c r="E34" s="147" t="s">
        <v>264</v>
      </c>
      <c r="F34" s="145" t="s">
        <v>265</v>
      </c>
      <c r="G34" s="146" t="s">
        <v>266</v>
      </c>
      <c r="H34" s="145" t="s">
        <v>267</v>
      </c>
      <c r="I34" s="145" t="s">
        <v>268</v>
      </c>
      <c r="J34" s="147" t="s">
        <v>269</v>
      </c>
    </row>
    <row r="35" spans="1:10" ht="10.5" customHeight="1">
      <c r="A35" s="148" t="s">
        <v>283</v>
      </c>
      <c r="B35" s="148"/>
      <c r="C35" s="160" t="s">
        <v>284</v>
      </c>
      <c r="D35" s="161"/>
      <c r="E35" s="161"/>
      <c r="F35" s="150" t="s">
        <v>279</v>
      </c>
      <c r="G35" s="150"/>
      <c r="H35" s="150" t="s">
        <v>279</v>
      </c>
      <c r="I35" s="151"/>
      <c r="J35" s="182"/>
    </row>
    <row r="36" spans="1:10" ht="10.5" customHeight="1">
      <c r="A36" s="148" t="s">
        <v>285</v>
      </c>
      <c r="B36" s="148"/>
      <c r="C36" s="160" t="s">
        <v>286</v>
      </c>
      <c r="D36" s="161"/>
      <c r="E36" s="162"/>
      <c r="F36" s="163" t="s">
        <v>279</v>
      </c>
      <c r="G36" s="163"/>
      <c r="H36" s="163" t="s">
        <v>279</v>
      </c>
      <c r="I36" s="164"/>
      <c r="J36" s="182"/>
    </row>
    <row r="37" spans="1:10" ht="10.5" customHeight="1">
      <c r="A37" s="148" t="s">
        <v>18</v>
      </c>
      <c r="B37" s="148"/>
      <c r="C37" s="160" t="s">
        <v>287</v>
      </c>
      <c r="D37" s="161"/>
      <c r="E37" s="161"/>
      <c r="F37" s="150" t="s">
        <v>279</v>
      </c>
      <c r="G37" s="150"/>
      <c r="H37" s="150" t="s">
        <v>279</v>
      </c>
      <c r="I37" s="151"/>
      <c r="J37" s="182"/>
    </row>
    <row r="38" spans="1:10" ht="10.5" customHeight="1">
      <c r="A38" s="148" t="s">
        <v>13</v>
      </c>
      <c r="B38" s="148"/>
      <c r="C38" s="160" t="s">
        <v>288</v>
      </c>
      <c r="D38" s="161"/>
      <c r="E38" s="162"/>
      <c r="F38" s="163" t="s">
        <v>279</v>
      </c>
      <c r="G38" s="163"/>
      <c r="H38" s="163" t="s">
        <v>279</v>
      </c>
      <c r="I38" s="164"/>
      <c r="J38" s="182"/>
    </row>
    <row r="39" spans="1:10" ht="10.5" customHeight="1">
      <c r="A39" s="148"/>
      <c r="B39" s="148"/>
      <c r="C39" s="160" t="s">
        <v>289</v>
      </c>
      <c r="D39" s="161"/>
      <c r="E39" s="161"/>
      <c r="F39" s="150" t="s">
        <v>279</v>
      </c>
      <c r="G39" s="150"/>
      <c r="H39" s="150" t="s">
        <v>279</v>
      </c>
      <c r="I39" s="151"/>
      <c r="J39" s="182"/>
    </row>
    <row r="40" spans="1:10" ht="8.25" customHeight="1">
      <c r="C40" s="175"/>
      <c r="D40" s="175"/>
      <c r="E40" s="175"/>
      <c r="F40" s="175"/>
      <c r="G40" s="175"/>
      <c r="H40" s="175"/>
      <c r="I40" s="175"/>
      <c r="J40" s="175"/>
    </row>
    <row r="41" spans="1:10">
      <c r="A41" s="147" t="s">
        <v>262</v>
      </c>
      <c r="B41" s="147"/>
      <c r="C41" s="181" t="s">
        <v>263</v>
      </c>
      <c r="D41" s="181"/>
      <c r="E41" s="147" t="s">
        <v>264</v>
      </c>
      <c r="F41" s="145" t="s">
        <v>265</v>
      </c>
      <c r="G41" s="146" t="s">
        <v>266</v>
      </c>
      <c r="H41" s="145" t="s">
        <v>267</v>
      </c>
      <c r="I41" s="145" t="s">
        <v>268</v>
      </c>
      <c r="J41" s="147" t="s">
        <v>269</v>
      </c>
    </row>
    <row r="42" spans="1:10" ht="10.5" customHeight="1">
      <c r="A42" s="148" t="s">
        <v>283</v>
      </c>
      <c r="B42" s="148"/>
      <c r="C42" s="160" t="s">
        <v>284</v>
      </c>
      <c r="D42" s="161"/>
      <c r="E42" s="161"/>
      <c r="F42" s="150" t="s">
        <v>279</v>
      </c>
      <c r="G42" s="150"/>
      <c r="H42" s="150" t="s">
        <v>279</v>
      </c>
      <c r="I42" s="151"/>
      <c r="J42" s="182"/>
    </row>
    <row r="43" spans="1:10" ht="10.5" customHeight="1">
      <c r="A43" s="148" t="s">
        <v>285</v>
      </c>
      <c r="B43" s="148"/>
      <c r="C43" s="160" t="s">
        <v>286</v>
      </c>
      <c r="D43" s="161"/>
      <c r="E43" s="162"/>
      <c r="F43" s="163" t="s">
        <v>279</v>
      </c>
      <c r="G43" s="163"/>
      <c r="H43" s="163" t="s">
        <v>279</v>
      </c>
      <c r="I43" s="164"/>
      <c r="J43" s="182"/>
    </row>
    <row r="44" spans="1:10" ht="10.5" customHeight="1">
      <c r="A44" s="148" t="s">
        <v>18</v>
      </c>
      <c r="B44" s="148"/>
      <c r="C44" s="160" t="s">
        <v>287</v>
      </c>
      <c r="D44" s="161"/>
      <c r="E44" s="161"/>
      <c r="F44" s="150" t="s">
        <v>279</v>
      </c>
      <c r="G44" s="150"/>
      <c r="H44" s="150" t="s">
        <v>279</v>
      </c>
      <c r="I44" s="151"/>
      <c r="J44" s="182"/>
    </row>
    <row r="45" spans="1:10" ht="10.5" customHeight="1">
      <c r="A45" s="148" t="s">
        <v>13</v>
      </c>
      <c r="B45" s="148"/>
      <c r="C45" s="160" t="s">
        <v>288</v>
      </c>
      <c r="D45" s="161"/>
      <c r="E45" s="162"/>
      <c r="F45" s="163" t="s">
        <v>279</v>
      </c>
      <c r="G45" s="163"/>
      <c r="H45" s="163" t="s">
        <v>279</v>
      </c>
      <c r="I45" s="164"/>
      <c r="J45" s="182"/>
    </row>
    <row r="46" spans="1:10" ht="10.5" customHeight="1">
      <c r="A46" s="148"/>
      <c r="B46" s="148"/>
      <c r="C46" s="160" t="s">
        <v>289</v>
      </c>
      <c r="D46" s="161"/>
      <c r="E46" s="161"/>
      <c r="F46" s="150" t="s">
        <v>279</v>
      </c>
      <c r="G46" s="150"/>
      <c r="H46" s="150" t="s">
        <v>279</v>
      </c>
      <c r="I46" s="151"/>
      <c r="J46" s="182"/>
    </row>
    <row r="47" spans="1:10" ht="8.25" customHeight="1">
      <c r="C47" s="175"/>
      <c r="D47" s="175"/>
      <c r="E47" s="175"/>
      <c r="F47" s="175"/>
      <c r="G47" s="175"/>
      <c r="H47" s="175"/>
      <c r="I47" s="175"/>
      <c r="J47" s="175"/>
    </row>
    <row r="49" spans="3:10" ht="21" customHeight="1">
      <c r="C49" s="183" t="s">
        <v>280</v>
      </c>
      <c r="D49" s="183"/>
      <c r="E49" s="183"/>
    </row>
    <row r="50" spans="3:10" ht="21" customHeight="1">
      <c r="C50" s="184" t="s">
        <v>281</v>
      </c>
      <c r="D50" s="184"/>
      <c r="E50" s="184"/>
      <c r="J50" s="153" t="s">
        <v>282</v>
      </c>
    </row>
  </sheetData>
  <mergeCells count="23">
    <mergeCell ref="C41:D41"/>
    <mergeCell ref="J42:J46"/>
    <mergeCell ref="C47:J47"/>
    <mergeCell ref="C49:E49"/>
    <mergeCell ref="C50:E50"/>
    <mergeCell ref="C40:J40"/>
    <mergeCell ref="C13:D13"/>
    <mergeCell ref="J14:J18"/>
    <mergeCell ref="C19:J19"/>
    <mergeCell ref="C20:D20"/>
    <mergeCell ref="J21:J25"/>
    <mergeCell ref="C26:J26"/>
    <mergeCell ref="C27:D27"/>
    <mergeCell ref="J28:J32"/>
    <mergeCell ref="C33:J33"/>
    <mergeCell ref="C34:D34"/>
    <mergeCell ref="J35:J39"/>
    <mergeCell ref="C12:J12"/>
    <mergeCell ref="C1:J1"/>
    <mergeCell ref="F3:H3"/>
    <mergeCell ref="C5:J5"/>
    <mergeCell ref="C6:D6"/>
    <mergeCell ref="J7:J11"/>
  </mergeCells>
  <pageMargins left="0.31496062992125984" right="0.31496062992125984" top="0.35433070866141736" bottom="0.15748031496062992" header="0" footer="0"/>
  <pageSetup paperSize="14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72969-AFCC-4D8C-8DB5-B2CF38442F26}">
  <sheetPr codeName="Hoja14"/>
  <dimension ref="A1:S38"/>
  <sheetViews>
    <sheetView view="pageBreakPreview" zoomScale="60" zoomScaleNormal="100" workbookViewId="0">
      <selection activeCell="L20" sqref="L20:S20"/>
    </sheetView>
  </sheetViews>
  <sheetFormatPr baseColWidth="10" defaultRowHeight="15"/>
  <cols>
    <col min="1" max="4" width="2.7109375" customWidth="1"/>
    <col min="5" max="5" width="0.85546875" customWidth="1"/>
    <col min="6" max="10" width="2.7109375" customWidth="1"/>
    <col min="11" max="11" width="0.85546875" customWidth="1"/>
    <col min="12" max="12" width="9.85546875" customWidth="1"/>
    <col min="13" max="13" width="3.28515625" customWidth="1"/>
    <col min="14" max="14" width="29.42578125" customWidth="1"/>
    <col min="15" max="18" width="11.140625" customWidth="1"/>
    <col min="19" max="19" width="41.85546875" customWidth="1"/>
  </cols>
  <sheetData>
    <row r="1" spans="1:19" ht="33.75" customHeight="1">
      <c r="L1" s="176" t="s">
        <v>252</v>
      </c>
      <c r="M1" s="177"/>
      <c r="N1" s="177"/>
      <c r="O1" s="177"/>
      <c r="P1" s="177"/>
      <c r="Q1" s="177"/>
      <c r="R1" s="177"/>
      <c r="S1" s="177"/>
    </row>
    <row r="2" spans="1:19" ht="9.75" customHeight="1" thickBot="1">
      <c r="L2" s="136"/>
      <c r="M2" s="137"/>
      <c r="N2" s="137"/>
      <c r="O2" s="137"/>
      <c r="P2" s="137"/>
      <c r="Q2" s="137"/>
      <c r="R2" s="137"/>
      <c r="S2" s="137"/>
    </row>
    <row r="3" spans="1:19" ht="15.75" thickBot="1">
      <c r="A3" s="185" t="s">
        <v>34</v>
      </c>
      <c r="B3" s="186"/>
      <c r="C3" s="186"/>
      <c r="D3" s="186"/>
      <c r="E3" s="186"/>
      <c r="F3" s="186"/>
      <c r="G3" s="186"/>
      <c r="H3" s="186"/>
      <c r="I3" s="186" t="s">
        <v>253</v>
      </c>
      <c r="J3" s="187"/>
      <c r="L3" s="178" t="s">
        <v>254</v>
      </c>
      <c r="M3" s="179"/>
      <c r="N3" s="180"/>
      <c r="O3" s="178" t="s">
        <v>255</v>
      </c>
      <c r="P3" s="179"/>
      <c r="Q3" s="180"/>
      <c r="R3" s="138"/>
      <c r="S3" s="139" t="s">
        <v>256</v>
      </c>
    </row>
    <row r="4" spans="1:19" ht="15.75" thickBot="1">
      <c r="A4" s="188"/>
      <c r="B4" s="189"/>
      <c r="C4" s="189"/>
      <c r="D4" s="189"/>
      <c r="E4" s="189"/>
      <c r="F4" s="189"/>
      <c r="G4" s="189"/>
      <c r="H4" s="189"/>
      <c r="I4" s="189"/>
      <c r="J4" s="190"/>
      <c r="L4" s="188" t="s">
        <v>257</v>
      </c>
      <c r="M4" s="189"/>
      <c r="N4" s="190"/>
      <c r="O4" s="140" t="s">
        <v>258</v>
      </c>
      <c r="P4" s="141" t="s">
        <v>259</v>
      </c>
      <c r="Q4" s="142" t="s">
        <v>260</v>
      </c>
      <c r="R4" s="143"/>
      <c r="S4" s="144" t="s">
        <v>261</v>
      </c>
    </row>
    <row r="5" spans="1:19" ht="8.25" customHeight="1">
      <c r="L5" s="175"/>
      <c r="M5" s="175"/>
      <c r="N5" s="175"/>
      <c r="O5" s="175"/>
      <c r="P5" s="175"/>
      <c r="Q5" s="175"/>
      <c r="R5" s="175"/>
      <c r="S5" s="175"/>
    </row>
    <row r="6" spans="1:19">
      <c r="A6" s="181" t="s">
        <v>262</v>
      </c>
      <c r="B6" s="181"/>
      <c r="C6" s="181"/>
      <c r="D6" s="181"/>
      <c r="E6" s="138"/>
      <c r="F6" s="181" t="s">
        <v>263</v>
      </c>
      <c r="G6" s="181"/>
      <c r="H6" s="181"/>
      <c r="I6" s="181"/>
      <c r="J6" s="181"/>
      <c r="K6" s="138"/>
      <c r="L6" s="191" t="s">
        <v>264</v>
      </c>
      <c r="M6" s="192"/>
      <c r="N6" s="193"/>
      <c r="O6" s="145" t="s">
        <v>265</v>
      </c>
      <c r="P6" s="146" t="s">
        <v>266</v>
      </c>
      <c r="Q6" s="145" t="s">
        <v>267</v>
      </c>
      <c r="R6" s="145" t="s">
        <v>268</v>
      </c>
      <c r="S6" s="147" t="s">
        <v>269</v>
      </c>
    </row>
    <row r="7" spans="1:19" ht="20.25" customHeight="1">
      <c r="A7" s="148" t="s">
        <v>270</v>
      </c>
      <c r="B7" s="148" t="s">
        <v>271</v>
      </c>
      <c r="C7" s="148" t="s">
        <v>272</v>
      </c>
      <c r="D7" s="148" t="s">
        <v>273</v>
      </c>
      <c r="E7" s="149"/>
      <c r="F7" s="148" t="s">
        <v>274</v>
      </c>
      <c r="G7" s="148" t="s">
        <v>275</v>
      </c>
      <c r="H7" s="148" t="s">
        <v>276</v>
      </c>
      <c r="I7" s="148" t="s">
        <v>277</v>
      </c>
      <c r="J7" s="148" t="s">
        <v>278</v>
      </c>
      <c r="K7" s="149"/>
      <c r="L7" s="194"/>
      <c r="M7" s="195"/>
      <c r="N7" s="196"/>
      <c r="O7" s="150" t="s">
        <v>279</v>
      </c>
      <c r="P7" s="150"/>
      <c r="Q7" s="150" t="s">
        <v>279</v>
      </c>
      <c r="R7" s="151"/>
      <c r="S7" s="152"/>
    </row>
    <row r="8" spans="1:19" ht="8.25" customHeight="1">
      <c r="L8" s="175"/>
      <c r="M8" s="175"/>
      <c r="N8" s="175"/>
      <c r="O8" s="175"/>
      <c r="P8" s="175"/>
      <c r="Q8" s="175"/>
      <c r="R8" s="175"/>
      <c r="S8" s="175"/>
    </row>
    <row r="9" spans="1:19">
      <c r="A9" s="181" t="s">
        <v>262</v>
      </c>
      <c r="B9" s="181"/>
      <c r="C9" s="181"/>
      <c r="D9" s="181"/>
      <c r="E9" s="138"/>
      <c r="F9" s="181" t="s">
        <v>263</v>
      </c>
      <c r="G9" s="181"/>
      <c r="H9" s="181"/>
      <c r="I9" s="181"/>
      <c r="J9" s="181"/>
      <c r="K9" s="138"/>
      <c r="L9" s="191" t="s">
        <v>264</v>
      </c>
      <c r="M9" s="192"/>
      <c r="N9" s="193"/>
      <c r="O9" s="145" t="s">
        <v>265</v>
      </c>
      <c r="P9" s="146" t="s">
        <v>266</v>
      </c>
      <c r="Q9" s="145" t="s">
        <v>267</v>
      </c>
      <c r="R9" s="145" t="s">
        <v>268</v>
      </c>
      <c r="S9" s="147" t="s">
        <v>269</v>
      </c>
    </row>
    <row r="10" spans="1:19" ht="20.25" customHeight="1">
      <c r="A10" s="148" t="s">
        <v>270</v>
      </c>
      <c r="B10" s="148" t="s">
        <v>271</v>
      </c>
      <c r="C10" s="148" t="s">
        <v>272</v>
      </c>
      <c r="D10" s="148" t="s">
        <v>273</v>
      </c>
      <c r="E10" s="149"/>
      <c r="F10" s="148" t="s">
        <v>274</v>
      </c>
      <c r="G10" s="148" t="s">
        <v>275</v>
      </c>
      <c r="H10" s="148" t="s">
        <v>276</v>
      </c>
      <c r="I10" s="148" t="s">
        <v>277</v>
      </c>
      <c r="J10" s="148" t="s">
        <v>278</v>
      </c>
      <c r="K10" s="149"/>
      <c r="L10" s="194"/>
      <c r="M10" s="195"/>
      <c r="N10" s="196"/>
      <c r="O10" s="150" t="s">
        <v>279</v>
      </c>
      <c r="P10" s="150"/>
      <c r="Q10" s="150" t="s">
        <v>279</v>
      </c>
      <c r="R10" s="151"/>
      <c r="S10" s="152"/>
    </row>
    <row r="11" spans="1:19" ht="8.25" customHeight="1">
      <c r="L11" s="175"/>
      <c r="M11" s="175"/>
      <c r="N11" s="175"/>
      <c r="O11" s="175"/>
      <c r="P11" s="175"/>
      <c r="Q11" s="175"/>
      <c r="R11" s="175"/>
      <c r="S11" s="175"/>
    </row>
    <row r="12" spans="1:19">
      <c r="A12" s="181" t="s">
        <v>262</v>
      </c>
      <c r="B12" s="181"/>
      <c r="C12" s="181"/>
      <c r="D12" s="181"/>
      <c r="E12" s="138"/>
      <c r="F12" s="181" t="s">
        <v>263</v>
      </c>
      <c r="G12" s="181"/>
      <c r="H12" s="181"/>
      <c r="I12" s="181"/>
      <c r="J12" s="181"/>
      <c r="K12" s="138"/>
      <c r="L12" s="191" t="s">
        <v>264</v>
      </c>
      <c r="M12" s="192"/>
      <c r="N12" s="193"/>
      <c r="O12" s="145" t="s">
        <v>265</v>
      </c>
      <c r="P12" s="146" t="s">
        <v>266</v>
      </c>
      <c r="Q12" s="145" t="s">
        <v>267</v>
      </c>
      <c r="R12" s="145" t="s">
        <v>268</v>
      </c>
      <c r="S12" s="147" t="s">
        <v>269</v>
      </c>
    </row>
    <row r="13" spans="1:19" ht="20.25" customHeight="1">
      <c r="A13" s="148" t="s">
        <v>270</v>
      </c>
      <c r="B13" s="148" t="s">
        <v>271</v>
      </c>
      <c r="C13" s="148" t="s">
        <v>272</v>
      </c>
      <c r="D13" s="148" t="s">
        <v>273</v>
      </c>
      <c r="E13" s="149"/>
      <c r="F13" s="148" t="s">
        <v>274</v>
      </c>
      <c r="G13" s="148" t="s">
        <v>275</v>
      </c>
      <c r="H13" s="148" t="s">
        <v>276</v>
      </c>
      <c r="I13" s="148" t="s">
        <v>277</v>
      </c>
      <c r="J13" s="148" t="s">
        <v>278</v>
      </c>
      <c r="K13" s="149"/>
      <c r="L13" s="194"/>
      <c r="M13" s="195"/>
      <c r="N13" s="196"/>
      <c r="O13" s="150" t="s">
        <v>279</v>
      </c>
      <c r="P13" s="150"/>
      <c r="Q13" s="150" t="s">
        <v>279</v>
      </c>
      <c r="R13" s="151"/>
      <c r="S13" s="152"/>
    </row>
    <row r="14" spans="1:19" ht="8.25" customHeight="1">
      <c r="L14" s="175"/>
      <c r="M14" s="175"/>
      <c r="N14" s="175"/>
      <c r="O14" s="175"/>
      <c r="P14" s="175"/>
      <c r="Q14" s="175"/>
      <c r="R14" s="175"/>
      <c r="S14" s="175"/>
    </row>
    <row r="15" spans="1:19">
      <c r="A15" s="181" t="s">
        <v>262</v>
      </c>
      <c r="B15" s="181"/>
      <c r="C15" s="181"/>
      <c r="D15" s="181"/>
      <c r="E15" s="138"/>
      <c r="F15" s="181" t="s">
        <v>263</v>
      </c>
      <c r="G15" s="181"/>
      <c r="H15" s="181"/>
      <c r="I15" s="181"/>
      <c r="J15" s="181"/>
      <c r="K15" s="138"/>
      <c r="L15" s="191" t="s">
        <v>264</v>
      </c>
      <c r="M15" s="192"/>
      <c r="N15" s="193"/>
      <c r="O15" s="145" t="s">
        <v>265</v>
      </c>
      <c r="P15" s="146" t="s">
        <v>266</v>
      </c>
      <c r="Q15" s="145" t="s">
        <v>267</v>
      </c>
      <c r="R15" s="145" t="s">
        <v>268</v>
      </c>
      <c r="S15" s="147" t="s">
        <v>269</v>
      </c>
    </row>
    <row r="16" spans="1:19" ht="20.25" customHeight="1">
      <c r="A16" s="148" t="s">
        <v>270</v>
      </c>
      <c r="B16" s="148" t="s">
        <v>271</v>
      </c>
      <c r="C16" s="148" t="s">
        <v>272</v>
      </c>
      <c r="D16" s="148" t="s">
        <v>273</v>
      </c>
      <c r="E16" s="149"/>
      <c r="F16" s="148" t="s">
        <v>274</v>
      </c>
      <c r="G16" s="148" t="s">
        <v>275</v>
      </c>
      <c r="H16" s="148" t="s">
        <v>276</v>
      </c>
      <c r="I16" s="148" t="s">
        <v>277</v>
      </c>
      <c r="J16" s="148" t="s">
        <v>278</v>
      </c>
      <c r="K16" s="149"/>
      <c r="L16" s="194"/>
      <c r="M16" s="195"/>
      <c r="N16" s="196"/>
      <c r="O16" s="150" t="s">
        <v>279</v>
      </c>
      <c r="P16" s="150"/>
      <c r="Q16" s="150" t="s">
        <v>279</v>
      </c>
      <c r="R16" s="151"/>
      <c r="S16" s="152"/>
    </row>
    <row r="17" spans="1:19" ht="8.25" customHeight="1">
      <c r="L17" s="175"/>
      <c r="M17" s="175"/>
      <c r="N17" s="175"/>
      <c r="O17" s="175"/>
      <c r="P17" s="175"/>
      <c r="Q17" s="175"/>
      <c r="R17" s="175"/>
      <c r="S17" s="175"/>
    </row>
    <row r="18" spans="1:19">
      <c r="A18" s="181" t="s">
        <v>262</v>
      </c>
      <c r="B18" s="181"/>
      <c r="C18" s="181"/>
      <c r="D18" s="181"/>
      <c r="E18" s="138"/>
      <c r="F18" s="181" t="s">
        <v>263</v>
      </c>
      <c r="G18" s="181"/>
      <c r="H18" s="181"/>
      <c r="I18" s="181"/>
      <c r="J18" s="181"/>
      <c r="K18" s="138"/>
      <c r="L18" s="191" t="s">
        <v>264</v>
      </c>
      <c r="M18" s="192"/>
      <c r="N18" s="193"/>
      <c r="O18" s="145" t="s">
        <v>265</v>
      </c>
      <c r="P18" s="146" t="s">
        <v>266</v>
      </c>
      <c r="Q18" s="145" t="s">
        <v>267</v>
      </c>
      <c r="R18" s="145" t="s">
        <v>268</v>
      </c>
      <c r="S18" s="147" t="s">
        <v>269</v>
      </c>
    </row>
    <row r="19" spans="1:19" ht="20.25" customHeight="1">
      <c r="A19" s="148" t="s">
        <v>270</v>
      </c>
      <c r="B19" s="148" t="s">
        <v>271</v>
      </c>
      <c r="C19" s="148" t="s">
        <v>272</v>
      </c>
      <c r="D19" s="148" t="s">
        <v>273</v>
      </c>
      <c r="E19" s="149"/>
      <c r="F19" s="148" t="s">
        <v>274</v>
      </c>
      <c r="G19" s="148" t="s">
        <v>275</v>
      </c>
      <c r="H19" s="148" t="s">
        <v>276</v>
      </c>
      <c r="I19" s="148" t="s">
        <v>277</v>
      </c>
      <c r="J19" s="148" t="s">
        <v>278</v>
      </c>
      <c r="K19" s="149"/>
      <c r="L19" s="194"/>
      <c r="M19" s="195"/>
      <c r="N19" s="196"/>
      <c r="O19" s="150" t="s">
        <v>279</v>
      </c>
      <c r="P19" s="150"/>
      <c r="Q19" s="150" t="s">
        <v>279</v>
      </c>
      <c r="R19" s="151"/>
      <c r="S19" s="152"/>
    </row>
    <row r="20" spans="1:19" ht="8.25" customHeight="1">
      <c r="L20" s="175"/>
      <c r="M20" s="175"/>
      <c r="N20" s="175"/>
      <c r="O20" s="175"/>
      <c r="P20" s="175"/>
      <c r="Q20" s="175"/>
      <c r="R20" s="175"/>
      <c r="S20" s="175"/>
    </row>
    <row r="21" spans="1:19">
      <c r="A21" s="181" t="s">
        <v>262</v>
      </c>
      <c r="B21" s="181"/>
      <c r="C21" s="181"/>
      <c r="D21" s="181"/>
      <c r="E21" s="138"/>
      <c r="F21" s="181" t="s">
        <v>263</v>
      </c>
      <c r="G21" s="181"/>
      <c r="H21" s="181"/>
      <c r="I21" s="181"/>
      <c r="J21" s="181"/>
      <c r="K21" s="138"/>
      <c r="L21" s="191" t="s">
        <v>264</v>
      </c>
      <c r="M21" s="192"/>
      <c r="N21" s="193"/>
      <c r="O21" s="145" t="s">
        <v>265</v>
      </c>
      <c r="P21" s="146" t="s">
        <v>266</v>
      </c>
      <c r="Q21" s="145" t="s">
        <v>267</v>
      </c>
      <c r="R21" s="145" t="s">
        <v>268</v>
      </c>
      <c r="S21" s="147" t="s">
        <v>269</v>
      </c>
    </row>
    <row r="22" spans="1:19" ht="20.25" customHeight="1">
      <c r="A22" s="148" t="s">
        <v>270</v>
      </c>
      <c r="B22" s="148" t="s">
        <v>271</v>
      </c>
      <c r="C22" s="148" t="s">
        <v>272</v>
      </c>
      <c r="D22" s="148" t="s">
        <v>273</v>
      </c>
      <c r="E22" s="149"/>
      <c r="F22" s="148" t="s">
        <v>274</v>
      </c>
      <c r="G22" s="148" t="s">
        <v>275</v>
      </c>
      <c r="H22" s="148" t="s">
        <v>276</v>
      </c>
      <c r="I22" s="148" t="s">
        <v>277</v>
      </c>
      <c r="J22" s="148" t="s">
        <v>278</v>
      </c>
      <c r="K22" s="149"/>
      <c r="L22" s="194"/>
      <c r="M22" s="195"/>
      <c r="N22" s="196"/>
      <c r="O22" s="150" t="s">
        <v>279</v>
      </c>
      <c r="P22" s="150"/>
      <c r="Q22" s="150" t="s">
        <v>279</v>
      </c>
      <c r="R22" s="151"/>
      <c r="S22" s="152"/>
    </row>
    <row r="23" spans="1:19" ht="8.25" customHeight="1">
      <c r="L23" s="175"/>
      <c r="M23" s="175"/>
      <c r="N23" s="175"/>
      <c r="O23" s="175"/>
      <c r="P23" s="175"/>
      <c r="Q23" s="175"/>
      <c r="R23" s="175"/>
      <c r="S23" s="175"/>
    </row>
    <row r="24" spans="1:19">
      <c r="A24" s="181" t="s">
        <v>262</v>
      </c>
      <c r="B24" s="181"/>
      <c r="C24" s="181"/>
      <c r="D24" s="181"/>
      <c r="E24" s="138"/>
      <c r="F24" s="181" t="s">
        <v>263</v>
      </c>
      <c r="G24" s="181"/>
      <c r="H24" s="181"/>
      <c r="I24" s="181"/>
      <c r="J24" s="181"/>
      <c r="K24" s="138"/>
      <c r="L24" s="191" t="s">
        <v>264</v>
      </c>
      <c r="M24" s="192"/>
      <c r="N24" s="193"/>
      <c r="O24" s="145" t="s">
        <v>265</v>
      </c>
      <c r="P24" s="146" t="s">
        <v>266</v>
      </c>
      <c r="Q24" s="145" t="s">
        <v>267</v>
      </c>
      <c r="R24" s="145" t="s">
        <v>268</v>
      </c>
      <c r="S24" s="147" t="s">
        <v>269</v>
      </c>
    </row>
    <row r="25" spans="1:19" ht="20.25" customHeight="1">
      <c r="A25" s="148" t="s">
        <v>270</v>
      </c>
      <c r="B25" s="148" t="s">
        <v>271</v>
      </c>
      <c r="C25" s="148" t="s">
        <v>272</v>
      </c>
      <c r="D25" s="148" t="s">
        <v>273</v>
      </c>
      <c r="E25" s="149"/>
      <c r="F25" s="148" t="s">
        <v>274</v>
      </c>
      <c r="G25" s="148" t="s">
        <v>275</v>
      </c>
      <c r="H25" s="148" t="s">
        <v>276</v>
      </c>
      <c r="I25" s="148" t="s">
        <v>277</v>
      </c>
      <c r="J25" s="148" t="s">
        <v>278</v>
      </c>
      <c r="K25" s="149"/>
      <c r="L25" s="194"/>
      <c r="M25" s="195"/>
      <c r="N25" s="196"/>
      <c r="O25" s="150" t="s">
        <v>279</v>
      </c>
      <c r="P25" s="150"/>
      <c r="Q25" s="150" t="s">
        <v>279</v>
      </c>
      <c r="R25" s="151"/>
      <c r="S25" s="152"/>
    </row>
    <row r="26" spans="1:19" ht="8.25" customHeight="1">
      <c r="L26" s="175"/>
      <c r="M26" s="175"/>
      <c r="N26" s="175"/>
      <c r="O26" s="175"/>
      <c r="P26" s="175"/>
      <c r="Q26" s="175"/>
      <c r="R26" s="175"/>
      <c r="S26" s="175"/>
    </row>
    <row r="27" spans="1:19">
      <c r="A27" s="181" t="s">
        <v>262</v>
      </c>
      <c r="B27" s="181"/>
      <c r="C27" s="181"/>
      <c r="D27" s="181"/>
      <c r="E27" s="138"/>
      <c r="F27" s="181" t="s">
        <v>263</v>
      </c>
      <c r="G27" s="181"/>
      <c r="H27" s="181"/>
      <c r="I27" s="181"/>
      <c r="J27" s="181"/>
      <c r="K27" s="138"/>
      <c r="L27" s="191" t="s">
        <v>264</v>
      </c>
      <c r="M27" s="192"/>
      <c r="N27" s="193"/>
      <c r="O27" s="145" t="s">
        <v>265</v>
      </c>
      <c r="P27" s="146" t="s">
        <v>266</v>
      </c>
      <c r="Q27" s="145" t="s">
        <v>267</v>
      </c>
      <c r="R27" s="145" t="s">
        <v>268</v>
      </c>
      <c r="S27" s="147" t="s">
        <v>269</v>
      </c>
    </row>
    <row r="28" spans="1:19" ht="20.25" customHeight="1">
      <c r="A28" s="148" t="s">
        <v>270</v>
      </c>
      <c r="B28" s="148" t="s">
        <v>271</v>
      </c>
      <c r="C28" s="148" t="s">
        <v>272</v>
      </c>
      <c r="D28" s="148" t="s">
        <v>273</v>
      </c>
      <c r="E28" s="149"/>
      <c r="F28" s="148" t="s">
        <v>274</v>
      </c>
      <c r="G28" s="148" t="s">
        <v>275</v>
      </c>
      <c r="H28" s="148" t="s">
        <v>276</v>
      </c>
      <c r="I28" s="148" t="s">
        <v>277</v>
      </c>
      <c r="J28" s="148" t="s">
        <v>278</v>
      </c>
      <c r="K28" s="149"/>
      <c r="L28" s="194"/>
      <c r="M28" s="195"/>
      <c r="N28" s="196"/>
      <c r="O28" s="150" t="s">
        <v>279</v>
      </c>
      <c r="P28" s="150"/>
      <c r="Q28" s="150" t="s">
        <v>279</v>
      </c>
      <c r="R28" s="151"/>
      <c r="S28" s="152"/>
    </row>
    <row r="29" spans="1:19" ht="8.25" customHeight="1">
      <c r="L29" s="175"/>
      <c r="M29" s="175"/>
      <c r="N29" s="175"/>
      <c r="O29" s="175"/>
      <c r="P29" s="175"/>
      <c r="Q29" s="175"/>
      <c r="R29" s="175"/>
      <c r="S29" s="175"/>
    </row>
    <row r="30" spans="1:19">
      <c r="A30" s="181" t="s">
        <v>262</v>
      </c>
      <c r="B30" s="181"/>
      <c r="C30" s="181"/>
      <c r="D30" s="181"/>
      <c r="E30" s="138"/>
      <c r="F30" s="181" t="s">
        <v>263</v>
      </c>
      <c r="G30" s="181"/>
      <c r="H30" s="181"/>
      <c r="I30" s="181"/>
      <c r="J30" s="181"/>
      <c r="K30" s="138"/>
      <c r="L30" s="191" t="s">
        <v>264</v>
      </c>
      <c r="M30" s="192"/>
      <c r="N30" s="193"/>
      <c r="O30" s="145" t="s">
        <v>265</v>
      </c>
      <c r="P30" s="146" t="s">
        <v>266</v>
      </c>
      <c r="Q30" s="145" t="s">
        <v>267</v>
      </c>
      <c r="R30" s="145" t="s">
        <v>268</v>
      </c>
      <c r="S30" s="147" t="s">
        <v>269</v>
      </c>
    </row>
    <row r="31" spans="1:19" ht="20.25" customHeight="1">
      <c r="A31" s="148" t="s">
        <v>270</v>
      </c>
      <c r="B31" s="148" t="s">
        <v>271</v>
      </c>
      <c r="C31" s="148" t="s">
        <v>272</v>
      </c>
      <c r="D31" s="148" t="s">
        <v>273</v>
      </c>
      <c r="E31" s="149"/>
      <c r="F31" s="148" t="s">
        <v>274</v>
      </c>
      <c r="G31" s="148" t="s">
        <v>275</v>
      </c>
      <c r="H31" s="148" t="s">
        <v>276</v>
      </c>
      <c r="I31" s="148" t="s">
        <v>277</v>
      </c>
      <c r="J31" s="148" t="s">
        <v>278</v>
      </c>
      <c r="K31" s="149"/>
      <c r="L31" s="194"/>
      <c r="M31" s="195"/>
      <c r="N31" s="196"/>
      <c r="O31" s="150" t="s">
        <v>279</v>
      </c>
      <c r="P31" s="150"/>
      <c r="Q31" s="150" t="s">
        <v>279</v>
      </c>
      <c r="R31" s="151"/>
      <c r="S31" s="152"/>
    </row>
    <row r="32" spans="1:19" ht="8.25" customHeight="1">
      <c r="L32" s="175"/>
      <c r="M32" s="175"/>
      <c r="N32" s="175"/>
      <c r="O32" s="175"/>
      <c r="P32" s="175"/>
      <c r="Q32" s="175"/>
      <c r="R32" s="175"/>
      <c r="S32" s="175"/>
    </row>
    <row r="33" spans="1:19">
      <c r="A33" s="181" t="s">
        <v>262</v>
      </c>
      <c r="B33" s="181"/>
      <c r="C33" s="181"/>
      <c r="D33" s="181"/>
      <c r="E33" s="138"/>
      <c r="F33" s="181" t="s">
        <v>263</v>
      </c>
      <c r="G33" s="181"/>
      <c r="H33" s="181"/>
      <c r="I33" s="181"/>
      <c r="J33" s="181"/>
      <c r="K33" s="138"/>
      <c r="L33" s="191" t="s">
        <v>264</v>
      </c>
      <c r="M33" s="192"/>
      <c r="N33" s="193"/>
      <c r="O33" s="145" t="s">
        <v>265</v>
      </c>
      <c r="P33" s="146" t="s">
        <v>266</v>
      </c>
      <c r="Q33" s="145" t="s">
        <v>267</v>
      </c>
      <c r="R33" s="145" t="s">
        <v>268</v>
      </c>
      <c r="S33" s="147" t="s">
        <v>269</v>
      </c>
    </row>
    <row r="34" spans="1:19" ht="20.25" customHeight="1">
      <c r="A34" s="148" t="s">
        <v>270</v>
      </c>
      <c r="B34" s="148" t="s">
        <v>271</v>
      </c>
      <c r="C34" s="148" t="s">
        <v>272</v>
      </c>
      <c r="D34" s="148" t="s">
        <v>273</v>
      </c>
      <c r="E34" s="149"/>
      <c r="F34" s="148" t="s">
        <v>274</v>
      </c>
      <c r="G34" s="148" t="s">
        <v>275</v>
      </c>
      <c r="H34" s="148" t="s">
        <v>276</v>
      </c>
      <c r="I34" s="148" t="s">
        <v>277</v>
      </c>
      <c r="J34" s="148" t="s">
        <v>278</v>
      </c>
      <c r="K34" s="149"/>
      <c r="L34" s="194"/>
      <c r="M34" s="195"/>
      <c r="N34" s="196"/>
      <c r="O34" s="150" t="s">
        <v>279</v>
      </c>
      <c r="P34" s="150"/>
      <c r="Q34" s="150" t="s">
        <v>279</v>
      </c>
      <c r="R34" s="151"/>
      <c r="S34" s="152"/>
    </row>
    <row r="35" spans="1:19" ht="8.25" customHeight="1">
      <c r="L35" s="175"/>
      <c r="M35" s="175"/>
      <c r="N35" s="175"/>
      <c r="O35" s="175"/>
      <c r="P35" s="175"/>
      <c r="Q35" s="175"/>
      <c r="R35" s="175"/>
      <c r="S35" s="175"/>
    </row>
    <row r="37" spans="1:19" ht="21" customHeight="1">
      <c r="A37" s="183" t="s">
        <v>280</v>
      </c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</row>
    <row r="38" spans="1:19" ht="21" customHeight="1">
      <c r="A38" s="184" t="s">
        <v>281</v>
      </c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S38" s="153" t="s">
        <v>282</v>
      </c>
    </row>
  </sheetData>
  <mergeCells count="61">
    <mergeCell ref="A38:N38"/>
    <mergeCell ref="A33:D33"/>
    <mergeCell ref="F33:J33"/>
    <mergeCell ref="L33:N33"/>
    <mergeCell ref="L34:N34"/>
    <mergeCell ref="L35:S35"/>
    <mergeCell ref="A37:N37"/>
    <mergeCell ref="L32:S32"/>
    <mergeCell ref="L25:N25"/>
    <mergeCell ref="L26:S26"/>
    <mergeCell ref="A27:D27"/>
    <mergeCell ref="F27:J27"/>
    <mergeCell ref="L27:N27"/>
    <mergeCell ref="L28:N28"/>
    <mergeCell ref="L29:S29"/>
    <mergeCell ref="A30:D30"/>
    <mergeCell ref="F30:J30"/>
    <mergeCell ref="L30:N30"/>
    <mergeCell ref="L31:N31"/>
    <mergeCell ref="A24:D24"/>
    <mergeCell ref="F24:J24"/>
    <mergeCell ref="L24:N24"/>
    <mergeCell ref="L17:S17"/>
    <mergeCell ref="A18:D18"/>
    <mergeCell ref="F18:J18"/>
    <mergeCell ref="L18:N18"/>
    <mergeCell ref="L19:N19"/>
    <mergeCell ref="L20:S20"/>
    <mergeCell ref="A21:D21"/>
    <mergeCell ref="F21:J21"/>
    <mergeCell ref="L21:N21"/>
    <mergeCell ref="L22:N22"/>
    <mergeCell ref="L23:S23"/>
    <mergeCell ref="L16:N16"/>
    <mergeCell ref="A9:D9"/>
    <mergeCell ref="F9:J9"/>
    <mergeCell ref="L9:N9"/>
    <mergeCell ref="L10:N10"/>
    <mergeCell ref="L11:S11"/>
    <mergeCell ref="A12:D12"/>
    <mergeCell ref="F12:J12"/>
    <mergeCell ref="L12:N12"/>
    <mergeCell ref="L13:N13"/>
    <mergeCell ref="L14:S14"/>
    <mergeCell ref="A15:D15"/>
    <mergeCell ref="F15:J15"/>
    <mergeCell ref="L15:N15"/>
    <mergeCell ref="L8:S8"/>
    <mergeCell ref="L1:S1"/>
    <mergeCell ref="A3:H3"/>
    <mergeCell ref="I3:J3"/>
    <mergeCell ref="L3:N3"/>
    <mergeCell ref="O3:Q3"/>
    <mergeCell ref="A4:H4"/>
    <mergeCell ref="I4:J4"/>
    <mergeCell ref="L4:N4"/>
    <mergeCell ref="L5:S5"/>
    <mergeCell ref="A6:D6"/>
    <mergeCell ref="F6:J6"/>
    <mergeCell ref="L6:N6"/>
    <mergeCell ref="L7:N7"/>
  </mergeCells>
  <pageMargins left="0.31496062992125984" right="0.31496062992125984" top="0.35433070866141736" bottom="0.15748031496062992" header="0" footer="0"/>
  <pageSetup paperSize="1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322A3-6CE4-4D05-87AC-E6740C4AF84D}">
  <sheetPr codeName="Hoja10"/>
  <dimension ref="A1:W55"/>
  <sheetViews>
    <sheetView showGridLines="0" view="pageBreakPreview" zoomScale="110" zoomScaleNormal="130" zoomScaleSheetLayoutView="110" workbookViewId="0">
      <selection activeCell="P17" sqref="P17"/>
    </sheetView>
  </sheetViews>
  <sheetFormatPr baseColWidth="10" defaultRowHeight="15"/>
  <cols>
    <col min="1" max="7" width="13.7109375" style="1" customWidth="1"/>
    <col min="8" max="8" width="1.85546875" style="1" customWidth="1"/>
    <col min="9" max="9" width="12.28515625" style="1" customWidth="1"/>
    <col min="10" max="10" width="1.7109375" style="1" customWidth="1"/>
    <col min="11" max="11" width="3.28515625" style="1" customWidth="1"/>
    <col min="12" max="12" width="1.7109375" style="1" customWidth="1"/>
    <col min="13" max="13" width="3.28515625" style="1" customWidth="1"/>
    <col min="14" max="14" width="1.7109375" style="1" customWidth="1"/>
    <col min="15" max="15" width="12.5703125" style="1" customWidth="1"/>
    <col min="16" max="16" width="1.85546875" style="1" customWidth="1"/>
    <col min="17" max="16384" width="11.42578125" style="1"/>
  </cols>
  <sheetData>
    <row r="1" spans="1:23" ht="26.25" customHeight="1" thickBot="1">
      <c r="A1" s="116" t="s">
        <v>23</v>
      </c>
      <c r="C1" s="11"/>
      <c r="D1" s="11"/>
      <c r="E1" s="11"/>
      <c r="F1" s="134"/>
      <c r="G1" s="19">
        <v>2022</v>
      </c>
      <c r="I1" s="121"/>
      <c r="J1" s="121"/>
      <c r="K1" s="121"/>
      <c r="L1" s="121"/>
      <c r="M1" s="121"/>
      <c r="N1" s="121"/>
      <c r="O1" s="121"/>
    </row>
    <row r="2" spans="1:23" ht="15.75" thickBot="1">
      <c r="I2" s="121"/>
      <c r="J2" s="121"/>
      <c r="K2" s="121"/>
      <c r="L2" s="121"/>
      <c r="M2" s="121"/>
      <c r="N2" s="121"/>
      <c r="O2" s="121"/>
      <c r="Q2" s="16" t="s">
        <v>1</v>
      </c>
      <c r="R2" s="2" t="s">
        <v>2</v>
      </c>
      <c r="S2" s="2" t="s">
        <v>3</v>
      </c>
      <c r="T2" s="2" t="s">
        <v>4</v>
      </c>
      <c r="U2" s="2" t="s">
        <v>5</v>
      </c>
      <c r="V2" s="3" t="s">
        <v>6</v>
      </c>
      <c r="W2" s="3" t="s">
        <v>0</v>
      </c>
    </row>
    <row r="3" spans="1:23" s="4" customFormat="1" ht="11.25" customHeight="1">
      <c r="J3" s="121"/>
      <c r="K3" s="121"/>
      <c r="L3" s="121"/>
      <c r="M3" s="121"/>
      <c r="N3" s="121"/>
      <c r="O3" s="121"/>
      <c r="Q3" s="114">
        <f>PARAMETROS!D13-PARAMETROS!D14</f>
        <v>44711</v>
      </c>
      <c r="R3" s="114">
        <f>Q3+1</f>
        <v>44712</v>
      </c>
      <c r="S3" s="114">
        <f t="shared" ref="S3:W3" si="0">R3+1</f>
        <v>44713</v>
      </c>
      <c r="T3" s="114">
        <f t="shared" si="0"/>
        <v>44714</v>
      </c>
      <c r="U3" s="114">
        <f t="shared" si="0"/>
        <v>44715</v>
      </c>
      <c r="V3" s="115">
        <f t="shared" si="0"/>
        <v>44716</v>
      </c>
      <c r="W3" s="115">
        <f t="shared" si="0"/>
        <v>44717</v>
      </c>
    </row>
    <row r="4" spans="1:23" s="4" customFormat="1" ht="11.25" customHeight="1">
      <c r="J4" s="126"/>
      <c r="K4" s="125"/>
      <c r="L4" s="117"/>
      <c r="M4" s="118"/>
      <c r="N4" s="117"/>
      <c r="O4" s="118"/>
      <c r="Q4" s="12"/>
      <c r="R4" s="12"/>
      <c r="S4" s="12"/>
      <c r="T4" s="6"/>
      <c r="U4" s="6"/>
      <c r="V4" s="10"/>
      <c r="W4" s="13"/>
    </row>
    <row r="5" spans="1:23" s="4" customFormat="1" ht="10.5" customHeight="1">
      <c r="I5" s="119"/>
      <c r="J5" s="117"/>
      <c r="K5" s="119"/>
      <c r="L5" s="117"/>
      <c r="M5" s="119"/>
      <c r="N5" s="117"/>
      <c r="O5" s="119"/>
      <c r="Q5" s="130"/>
      <c r="R5" s="130"/>
      <c r="S5" s="130"/>
      <c r="T5" s="130"/>
      <c r="U5" s="130"/>
      <c r="V5" s="129" t="s">
        <v>13</v>
      </c>
      <c r="W5" s="129" t="s">
        <v>13</v>
      </c>
    </row>
    <row r="6" spans="1:23" s="7" customFormat="1" ht="10.5" customHeight="1">
      <c r="I6" s="119"/>
      <c r="J6" s="120"/>
      <c r="K6" s="119"/>
      <c r="L6" s="120"/>
      <c r="M6" s="119"/>
      <c r="N6" s="120"/>
      <c r="O6" s="119"/>
      <c r="Q6" s="130"/>
      <c r="R6" s="130"/>
      <c r="S6" s="130"/>
      <c r="T6" s="130"/>
      <c r="U6" s="130"/>
      <c r="V6" s="128" t="s">
        <v>18</v>
      </c>
      <c r="W6" s="129" t="s">
        <v>18</v>
      </c>
    </row>
    <row r="7" spans="1:23" s="7" customFormat="1" ht="10.5" customHeight="1">
      <c r="I7" s="133"/>
      <c r="J7" s="120"/>
      <c r="K7" s="119"/>
      <c r="L7" s="120"/>
      <c r="M7" s="119"/>
      <c r="N7" s="120"/>
      <c r="O7" s="119"/>
      <c r="Q7" s="130"/>
      <c r="R7" s="130"/>
      <c r="S7" s="130"/>
      <c r="T7" s="130"/>
      <c r="U7" s="130"/>
      <c r="V7" s="128" t="s">
        <v>7</v>
      </c>
      <c r="W7" s="129" t="s">
        <v>7</v>
      </c>
    </row>
    <row r="8" spans="1:23" s="7" customFormat="1" ht="10.5" customHeight="1">
      <c r="I8" s="119"/>
      <c r="J8" s="120"/>
      <c r="K8" s="119"/>
      <c r="L8" s="120"/>
      <c r="M8" s="119"/>
      <c r="N8" s="120"/>
      <c r="O8" s="119"/>
      <c r="Q8" s="130"/>
      <c r="R8" s="130"/>
      <c r="S8" s="130"/>
      <c r="T8" s="130"/>
      <c r="U8" s="130"/>
      <c r="V8" s="128" t="s">
        <v>251</v>
      </c>
      <c r="W8" s="129" t="s">
        <v>251</v>
      </c>
    </row>
    <row r="9" spans="1:23" ht="10.5" customHeight="1">
      <c r="I9" s="121"/>
      <c r="J9" s="121"/>
      <c r="K9" s="121"/>
      <c r="L9" s="121"/>
      <c r="M9" s="121"/>
      <c r="N9" s="121"/>
      <c r="O9" s="121"/>
      <c r="Q9" s="14"/>
      <c r="R9" s="14"/>
      <c r="S9" s="14"/>
      <c r="T9" s="14"/>
      <c r="U9" s="14"/>
      <c r="V9" s="9"/>
      <c r="W9" s="14"/>
    </row>
    <row r="10" spans="1:23" ht="10.5" customHeight="1" thickBot="1">
      <c r="I10" s="121"/>
      <c r="J10" s="121"/>
      <c r="K10" s="121"/>
      <c r="L10" s="121"/>
      <c r="M10" s="121"/>
      <c r="N10" s="121"/>
      <c r="O10" s="121"/>
      <c r="Q10" s="15"/>
      <c r="R10" s="15"/>
      <c r="S10" s="15"/>
      <c r="T10" s="8"/>
      <c r="U10" s="8"/>
      <c r="V10" s="17"/>
      <c r="W10" s="8"/>
    </row>
    <row r="11" spans="1:23" s="4" customFormat="1" ht="11.25" customHeight="1">
      <c r="I11" s="165"/>
      <c r="J11" s="165"/>
      <c r="K11" s="166"/>
      <c r="L11" s="166"/>
      <c r="M11" s="166"/>
      <c r="N11" s="165"/>
      <c r="O11" s="165"/>
      <c r="Q11" s="113">
        <f>W3+1</f>
        <v>44718</v>
      </c>
      <c r="R11" s="114">
        <f>Q11+1</f>
        <v>44719</v>
      </c>
      <c r="S11" s="114">
        <f t="shared" ref="S11:W11" si="1">R11+1</f>
        <v>44720</v>
      </c>
      <c r="T11" s="114">
        <f t="shared" si="1"/>
        <v>44721</v>
      </c>
      <c r="U11" s="114">
        <f t="shared" si="1"/>
        <v>44722</v>
      </c>
      <c r="V11" s="115">
        <f t="shared" si="1"/>
        <v>44723</v>
      </c>
      <c r="W11" s="115">
        <f t="shared" si="1"/>
        <v>44724</v>
      </c>
    </row>
    <row r="12" spans="1:23" s="4" customFormat="1" ht="14.25" customHeight="1">
      <c r="I12" s="118"/>
      <c r="J12" s="117"/>
      <c r="K12" s="118"/>
      <c r="L12" s="117"/>
      <c r="M12" s="118"/>
      <c r="N12" s="117"/>
      <c r="O12" s="118"/>
      <c r="Q12" s="12"/>
      <c r="R12" s="12"/>
      <c r="S12" s="12"/>
      <c r="T12" s="12"/>
      <c r="U12" s="12"/>
      <c r="V12" s="10"/>
      <c r="W12" s="10"/>
    </row>
    <row r="13" spans="1:23" s="4" customFormat="1" ht="12" customHeight="1">
      <c r="I13" s="119"/>
      <c r="J13" s="117"/>
      <c r="K13" s="119"/>
      <c r="L13" s="117"/>
      <c r="M13" s="119"/>
      <c r="N13" s="117"/>
      <c r="O13" s="119"/>
      <c r="Q13" s="130"/>
      <c r="R13" s="130"/>
      <c r="S13" s="130"/>
      <c r="T13" s="130"/>
      <c r="U13" s="130"/>
      <c r="V13" s="127" t="s">
        <v>18</v>
      </c>
      <c r="W13" s="127" t="s">
        <v>18</v>
      </c>
    </row>
    <row r="14" spans="1:23" s="7" customFormat="1" ht="12" customHeight="1">
      <c r="I14" s="119"/>
      <c r="J14" s="120"/>
      <c r="K14" s="119"/>
      <c r="L14" s="120"/>
      <c r="M14" s="119"/>
      <c r="N14" s="120"/>
      <c r="O14" s="119"/>
      <c r="Q14" s="130"/>
      <c r="R14" s="130"/>
      <c r="S14" s="130"/>
      <c r="T14" s="130"/>
      <c r="U14" s="130"/>
      <c r="V14" s="128" t="s">
        <v>8</v>
      </c>
      <c r="W14" s="128" t="s">
        <v>8</v>
      </c>
    </row>
    <row r="15" spans="1:23" s="7" customFormat="1" ht="12" customHeight="1">
      <c r="I15" s="119"/>
      <c r="J15" s="120"/>
      <c r="K15" s="119"/>
      <c r="L15" s="120"/>
      <c r="M15" s="119"/>
      <c r="N15" s="120"/>
      <c r="O15" s="119"/>
      <c r="Q15" s="130"/>
      <c r="R15" s="130"/>
      <c r="S15" s="130"/>
      <c r="T15" s="130"/>
      <c r="U15" s="130"/>
      <c r="V15" s="128" t="s">
        <v>9</v>
      </c>
      <c r="W15" s="128" t="s">
        <v>9</v>
      </c>
    </row>
    <row r="16" spans="1:23" s="7" customFormat="1" ht="12" customHeight="1">
      <c r="I16" s="119"/>
      <c r="J16" s="120"/>
      <c r="K16" s="119"/>
      <c r="L16" s="120"/>
      <c r="M16" s="119"/>
      <c r="N16" s="120"/>
      <c r="O16" s="119"/>
      <c r="Q16" s="130"/>
      <c r="R16" s="130"/>
      <c r="S16" s="130"/>
      <c r="T16" s="130"/>
      <c r="U16" s="130"/>
      <c r="V16" s="128" t="s">
        <v>10</v>
      </c>
      <c r="W16" s="128" t="s">
        <v>10</v>
      </c>
    </row>
    <row r="17" spans="9:23" s="7" customFormat="1" ht="12" customHeight="1">
      <c r="I17" s="120"/>
      <c r="J17" s="120"/>
      <c r="K17" s="120"/>
      <c r="L17" s="120"/>
      <c r="M17" s="120"/>
      <c r="N17" s="120"/>
      <c r="O17" s="120"/>
      <c r="Q17" s="130"/>
      <c r="R17" s="130"/>
      <c r="S17" s="130"/>
      <c r="T17" s="130"/>
      <c r="U17" s="130"/>
      <c r="V17" s="128" t="s">
        <v>11</v>
      </c>
      <c r="W17" s="128" t="s">
        <v>11</v>
      </c>
    </row>
    <row r="18" spans="9:23" s="7" customFormat="1" ht="12" customHeight="1">
      <c r="I18" s="120"/>
      <c r="J18" s="120"/>
      <c r="K18" s="120"/>
      <c r="L18" s="120"/>
      <c r="M18" s="120"/>
      <c r="N18" s="120"/>
      <c r="O18" s="120"/>
      <c r="Q18" s="130"/>
      <c r="R18" s="130"/>
      <c r="S18" s="130"/>
      <c r="T18" s="130"/>
      <c r="U18" s="130"/>
      <c r="V18" s="129" t="s">
        <v>14</v>
      </c>
      <c r="W18" s="129" t="s">
        <v>14</v>
      </c>
    </row>
    <row r="19" spans="9:23" s="7" customFormat="1" ht="12" customHeight="1">
      <c r="I19" s="120"/>
      <c r="J19" s="120"/>
      <c r="K19" s="120"/>
      <c r="L19" s="120"/>
      <c r="M19" s="120"/>
      <c r="N19" s="120"/>
      <c r="O19" s="120"/>
      <c r="Q19" s="130"/>
      <c r="R19" s="130"/>
      <c r="S19" s="130"/>
      <c r="T19" s="130"/>
      <c r="U19" s="130"/>
      <c r="V19" s="128" t="s">
        <v>12</v>
      </c>
      <c r="W19" s="128" t="s">
        <v>12</v>
      </c>
    </row>
    <row r="20" spans="9:23" ht="10.5" customHeight="1">
      <c r="I20" s="121"/>
      <c r="J20" s="121"/>
      <c r="K20" s="121"/>
      <c r="L20" s="121"/>
      <c r="M20" s="121"/>
      <c r="N20" s="121"/>
      <c r="O20" s="121"/>
      <c r="Q20" s="14"/>
      <c r="R20" s="14"/>
      <c r="S20" s="14"/>
      <c r="T20" s="14"/>
      <c r="U20" s="14"/>
      <c r="V20" s="9"/>
      <c r="W20" s="9"/>
    </row>
    <row r="21" spans="9:23" ht="10.5" customHeight="1" thickBot="1">
      <c r="I21" s="121"/>
      <c r="J21" s="121"/>
      <c r="K21" s="121"/>
      <c r="L21" s="121"/>
      <c r="M21" s="121"/>
      <c r="N21" s="121"/>
      <c r="O21" s="121"/>
      <c r="Q21" s="15"/>
      <c r="R21" s="15"/>
      <c r="S21" s="15"/>
      <c r="T21" s="15"/>
      <c r="U21" s="15"/>
      <c r="V21" s="17"/>
      <c r="W21" s="8"/>
    </row>
    <row r="22" spans="9:23" s="4" customFormat="1" ht="11.25" customHeight="1">
      <c r="I22" s="121"/>
      <c r="J22" s="121"/>
      <c r="K22" s="121"/>
      <c r="L22" s="121"/>
      <c r="M22" s="121"/>
      <c r="N22" s="121"/>
      <c r="O22" s="121"/>
      <c r="Q22" s="113">
        <f>+W11+1</f>
        <v>44725</v>
      </c>
      <c r="R22" s="114">
        <f>Q22+1</f>
        <v>44726</v>
      </c>
      <c r="S22" s="114">
        <f t="shared" ref="S22:W22" si="2">R22+1</f>
        <v>44727</v>
      </c>
      <c r="T22" s="114">
        <f t="shared" si="2"/>
        <v>44728</v>
      </c>
      <c r="U22" s="114">
        <f t="shared" si="2"/>
        <v>44729</v>
      </c>
      <c r="V22" s="115">
        <f t="shared" si="2"/>
        <v>44730</v>
      </c>
      <c r="W22" s="115">
        <f t="shared" si="2"/>
        <v>44731</v>
      </c>
    </row>
    <row r="23" spans="9:23" s="4" customFormat="1" ht="11.25" customHeight="1">
      <c r="I23" s="117"/>
      <c r="J23" s="117"/>
      <c r="K23" s="117"/>
      <c r="L23" s="117"/>
      <c r="M23" s="117"/>
      <c r="N23" s="117"/>
      <c r="O23" s="117"/>
      <c r="Q23" s="12"/>
      <c r="R23" s="12"/>
      <c r="S23" s="12"/>
      <c r="T23" s="12"/>
      <c r="U23" s="12"/>
      <c r="V23" s="10"/>
      <c r="W23" s="13"/>
    </row>
    <row r="24" spans="9:23" s="4" customFormat="1" ht="5.25" customHeight="1">
      <c r="I24" s="117"/>
      <c r="J24" s="117"/>
      <c r="K24" s="117"/>
      <c r="L24" s="117"/>
      <c r="M24" s="117"/>
      <c r="N24" s="117"/>
      <c r="O24" s="117"/>
      <c r="Q24" s="130"/>
      <c r="R24" s="130"/>
      <c r="S24" s="130"/>
      <c r="T24" s="130"/>
      <c r="U24" s="130"/>
      <c r="V24" s="127" t="s">
        <v>18</v>
      </c>
      <c r="W24" s="127" t="s">
        <v>18</v>
      </c>
    </row>
    <row r="25" spans="9:23" s="7" customFormat="1" ht="5.25" customHeight="1">
      <c r="I25" s="120"/>
      <c r="J25" s="120"/>
      <c r="K25" s="120"/>
      <c r="L25" s="120"/>
      <c r="M25" s="120"/>
      <c r="N25" s="120"/>
      <c r="O25" s="120"/>
      <c r="Q25" s="130"/>
      <c r="R25" s="130"/>
      <c r="S25" s="130"/>
      <c r="T25" s="130"/>
      <c r="U25" s="130"/>
      <c r="V25" s="128" t="s">
        <v>8</v>
      </c>
      <c r="W25" s="129" t="s">
        <v>8</v>
      </c>
    </row>
    <row r="26" spans="9:23" s="7" customFormat="1" ht="5.25" customHeight="1">
      <c r="I26" s="120"/>
      <c r="J26" s="120"/>
      <c r="K26" s="120"/>
      <c r="L26" s="120"/>
      <c r="M26" s="120"/>
      <c r="N26" s="120"/>
      <c r="O26" s="120"/>
      <c r="Q26" s="130"/>
      <c r="R26" s="130"/>
      <c r="S26" s="130"/>
      <c r="T26" s="130"/>
      <c r="U26" s="130"/>
      <c r="V26" s="128" t="s">
        <v>9</v>
      </c>
      <c r="W26" s="129" t="s">
        <v>9</v>
      </c>
    </row>
    <row r="27" spans="9:23" s="7" customFormat="1" ht="5.25" customHeight="1">
      <c r="I27" s="120"/>
      <c r="J27" s="120"/>
      <c r="K27" s="120"/>
      <c r="L27" s="120"/>
      <c r="M27" s="120"/>
      <c r="N27" s="120"/>
      <c r="O27" s="120"/>
      <c r="Q27" s="130"/>
      <c r="R27" s="130"/>
      <c r="S27" s="130"/>
      <c r="T27" s="130"/>
      <c r="U27" s="130"/>
      <c r="V27" s="128" t="s">
        <v>10</v>
      </c>
      <c r="W27" s="129" t="s">
        <v>10</v>
      </c>
    </row>
    <row r="28" spans="9:23" s="7" customFormat="1" ht="5.25" customHeight="1">
      <c r="I28" s="120"/>
      <c r="J28" s="120"/>
      <c r="K28" s="120"/>
      <c r="L28" s="120"/>
      <c r="M28" s="120"/>
      <c r="N28" s="120"/>
      <c r="O28" s="120"/>
      <c r="Q28" s="130"/>
      <c r="R28" s="130"/>
      <c r="S28" s="130"/>
      <c r="T28" s="130"/>
      <c r="U28" s="130"/>
      <c r="V28" s="128" t="s">
        <v>11</v>
      </c>
      <c r="W28" s="129" t="s">
        <v>11</v>
      </c>
    </row>
    <row r="29" spans="9:23" s="7" customFormat="1" ht="5.25" customHeight="1">
      <c r="I29" s="120"/>
      <c r="J29" s="120"/>
      <c r="K29" s="120"/>
      <c r="L29" s="120"/>
      <c r="M29" s="120"/>
      <c r="N29" s="120"/>
      <c r="O29" s="120"/>
      <c r="Q29" s="130"/>
      <c r="R29" s="130"/>
      <c r="S29" s="130"/>
      <c r="T29" s="130"/>
      <c r="U29" s="130"/>
      <c r="V29" s="129" t="s">
        <v>14</v>
      </c>
      <c r="W29" s="129" t="s">
        <v>14</v>
      </c>
    </row>
    <row r="30" spans="9:23" s="7" customFormat="1" ht="5.25" customHeight="1">
      <c r="I30" s="123"/>
      <c r="J30" s="123"/>
      <c r="K30" s="123"/>
      <c r="L30" s="123"/>
      <c r="M30" s="123"/>
      <c r="N30" s="123"/>
      <c r="O30" s="123"/>
      <c r="Q30" s="130"/>
      <c r="R30" s="130"/>
      <c r="S30" s="130"/>
      <c r="T30" s="130"/>
      <c r="U30" s="130"/>
      <c r="V30" s="128" t="s">
        <v>12</v>
      </c>
      <c r="W30" s="129" t="s">
        <v>12</v>
      </c>
    </row>
    <row r="31" spans="9:23" ht="9.75" customHeight="1">
      <c r="I31" s="123"/>
      <c r="J31" s="123"/>
      <c r="K31" s="123"/>
      <c r="L31" s="123"/>
      <c r="M31" s="123"/>
      <c r="N31" s="123"/>
      <c r="O31" s="123"/>
      <c r="Q31" s="14"/>
      <c r="R31" s="14"/>
      <c r="S31" s="14"/>
      <c r="T31" s="14"/>
      <c r="U31" s="14"/>
      <c r="V31" s="9"/>
      <c r="W31" s="9"/>
    </row>
    <row r="32" spans="9:23" ht="10.5" customHeight="1" thickBot="1">
      <c r="I32" s="121"/>
      <c r="J32" s="121"/>
      <c r="K32" s="121"/>
      <c r="L32" s="121"/>
      <c r="M32" s="121"/>
      <c r="N32" s="121"/>
      <c r="O32" s="121"/>
      <c r="Q32" s="15"/>
      <c r="R32" s="15"/>
      <c r="S32" s="15"/>
      <c r="T32" s="15"/>
      <c r="U32" s="15"/>
      <c r="V32" s="17"/>
      <c r="W32" s="8"/>
    </row>
    <row r="33" spans="9:23" s="4" customFormat="1" ht="11.25" customHeight="1">
      <c r="I33" s="121"/>
      <c r="J33" s="121"/>
      <c r="K33" s="121"/>
      <c r="L33" s="121"/>
      <c r="M33" s="121"/>
      <c r="N33" s="121"/>
      <c r="O33" s="121"/>
      <c r="Q33" s="113">
        <f>+W22+1</f>
        <v>44732</v>
      </c>
      <c r="R33" s="114">
        <f>Q33+1</f>
        <v>44733</v>
      </c>
      <c r="S33" s="114">
        <f t="shared" ref="S33:W33" si="3">R33+1</f>
        <v>44734</v>
      </c>
      <c r="T33" s="114">
        <f t="shared" si="3"/>
        <v>44735</v>
      </c>
      <c r="U33" s="114">
        <f t="shared" si="3"/>
        <v>44736</v>
      </c>
      <c r="V33" s="115">
        <f t="shared" si="3"/>
        <v>44737</v>
      </c>
      <c r="W33" s="115">
        <f t="shared" si="3"/>
        <v>44738</v>
      </c>
    </row>
    <row r="34" spans="9:23" s="4" customFormat="1" ht="11.25" customHeight="1">
      <c r="I34" s="118"/>
      <c r="J34" s="117"/>
      <c r="K34" s="118"/>
      <c r="L34" s="117"/>
      <c r="M34" s="118"/>
      <c r="N34" s="117"/>
      <c r="O34" s="118"/>
      <c r="Q34" s="12"/>
      <c r="R34" s="18" t="s">
        <v>16</v>
      </c>
      <c r="S34" s="12"/>
      <c r="T34" s="12"/>
      <c r="U34" s="12"/>
      <c r="V34" s="10"/>
      <c r="W34" s="10"/>
    </row>
    <row r="35" spans="9:23" s="4" customFormat="1" ht="5.25" customHeight="1">
      <c r="I35" s="118"/>
      <c r="J35" s="117"/>
      <c r="K35" s="118"/>
      <c r="L35" s="117"/>
      <c r="M35" s="118"/>
      <c r="N35" s="117"/>
      <c r="O35" s="118"/>
      <c r="Q35" s="130"/>
      <c r="R35" s="131"/>
      <c r="S35" s="130"/>
      <c r="T35" s="130"/>
      <c r="U35" s="130"/>
      <c r="V35" s="127" t="s">
        <v>18</v>
      </c>
      <c r="W35" s="127" t="s">
        <v>18</v>
      </c>
    </row>
    <row r="36" spans="9:23" s="7" customFormat="1" ht="5.25" customHeight="1">
      <c r="I36" s="118"/>
      <c r="J36" s="120"/>
      <c r="K36" s="118"/>
      <c r="L36" s="120"/>
      <c r="M36" s="118"/>
      <c r="N36" s="120"/>
      <c r="O36" s="118"/>
      <c r="Q36" s="130"/>
      <c r="R36" s="131"/>
      <c r="S36" s="132"/>
      <c r="T36" s="130"/>
      <c r="U36" s="130"/>
      <c r="V36" s="128" t="s">
        <v>8</v>
      </c>
      <c r="W36" s="128" t="s">
        <v>8</v>
      </c>
    </row>
    <row r="37" spans="9:23" s="7" customFormat="1" ht="5.25" customHeight="1">
      <c r="I37" s="118"/>
      <c r="J37" s="120"/>
      <c r="K37" s="118"/>
      <c r="L37" s="120"/>
      <c r="M37" s="118"/>
      <c r="N37" s="120"/>
      <c r="O37" s="118"/>
      <c r="Q37" s="130"/>
      <c r="R37" s="131"/>
      <c r="S37" s="130"/>
      <c r="T37" s="130"/>
      <c r="U37" s="130"/>
      <c r="V37" s="128" t="s">
        <v>9</v>
      </c>
      <c r="W37" s="128" t="s">
        <v>9</v>
      </c>
    </row>
    <row r="38" spans="9:23" s="7" customFormat="1" ht="5.25" customHeight="1">
      <c r="I38" s="118"/>
      <c r="J38" s="120"/>
      <c r="K38" s="118"/>
      <c r="L38" s="120"/>
      <c r="M38" s="118"/>
      <c r="N38" s="120"/>
      <c r="O38" s="118"/>
      <c r="Q38" s="130"/>
      <c r="R38" s="131"/>
      <c r="S38" s="130"/>
      <c r="T38" s="130"/>
      <c r="U38" s="130"/>
      <c r="V38" s="128" t="s">
        <v>10</v>
      </c>
      <c r="W38" s="128" t="s">
        <v>10</v>
      </c>
    </row>
    <row r="39" spans="9:23" s="7" customFormat="1" ht="5.25" customHeight="1">
      <c r="I39" s="120"/>
      <c r="J39" s="120"/>
      <c r="K39" s="120"/>
      <c r="L39" s="120"/>
      <c r="M39" s="120"/>
      <c r="N39" s="120"/>
      <c r="O39" s="120"/>
      <c r="Q39" s="130"/>
      <c r="R39" s="131"/>
      <c r="S39" s="130"/>
      <c r="T39" s="130"/>
      <c r="U39" s="130"/>
      <c r="V39" s="128" t="s">
        <v>11</v>
      </c>
      <c r="W39" s="128" t="s">
        <v>11</v>
      </c>
    </row>
    <row r="40" spans="9:23" s="7" customFormat="1" ht="5.25" customHeight="1">
      <c r="I40" s="120"/>
      <c r="J40" s="120"/>
      <c r="K40" s="120"/>
      <c r="L40" s="120"/>
      <c r="M40" s="120"/>
      <c r="N40" s="120"/>
      <c r="O40" s="120"/>
      <c r="Q40" s="130"/>
      <c r="R40" s="131"/>
      <c r="S40" s="130"/>
      <c r="T40" s="130"/>
      <c r="U40" s="130"/>
      <c r="V40" s="129" t="s">
        <v>14</v>
      </c>
      <c r="W40" s="129" t="s">
        <v>14</v>
      </c>
    </row>
    <row r="41" spans="9:23" s="7" customFormat="1" ht="5.25" customHeight="1">
      <c r="I41" s="120"/>
      <c r="J41" s="120"/>
      <c r="K41" s="120"/>
      <c r="L41" s="120"/>
      <c r="M41" s="120"/>
      <c r="N41" s="120"/>
      <c r="O41" s="120"/>
      <c r="Q41" s="130"/>
      <c r="R41" s="131"/>
      <c r="S41" s="130"/>
      <c r="T41" s="130"/>
      <c r="U41" s="130"/>
      <c r="V41" s="128" t="s">
        <v>12</v>
      </c>
      <c r="W41" s="128" t="s">
        <v>12</v>
      </c>
    </row>
    <row r="42" spans="9:23" ht="10.5" customHeight="1">
      <c r="I42" s="121"/>
      <c r="J42" s="121"/>
      <c r="K42" s="121"/>
      <c r="L42" s="121"/>
      <c r="M42" s="121"/>
      <c r="N42" s="121"/>
      <c r="O42" s="121"/>
      <c r="Q42" s="14"/>
      <c r="R42" s="14"/>
      <c r="S42" s="14"/>
      <c r="T42" s="14"/>
      <c r="U42" s="14"/>
      <c r="V42" s="9"/>
      <c r="W42" s="9"/>
    </row>
    <row r="43" spans="9:23" ht="10.5" customHeight="1" thickBot="1">
      <c r="I43" s="121"/>
      <c r="J43" s="121"/>
      <c r="K43" s="121"/>
      <c r="L43" s="121"/>
      <c r="M43" s="121"/>
      <c r="N43" s="121"/>
      <c r="O43" s="121"/>
      <c r="Q43" s="15"/>
      <c r="R43" s="15"/>
      <c r="S43" s="15"/>
      <c r="T43" s="15"/>
      <c r="U43" s="15"/>
      <c r="V43" s="17"/>
      <c r="W43" s="17"/>
    </row>
    <row r="44" spans="9:23" s="4" customFormat="1" ht="11.25" customHeight="1">
      <c r="I44" s="122"/>
      <c r="J44" s="117"/>
      <c r="K44" s="122"/>
      <c r="L44" s="117"/>
      <c r="M44" s="122"/>
      <c r="N44" s="117"/>
      <c r="O44" s="122"/>
      <c r="Q44" s="113">
        <f>+W33+1</f>
        <v>44739</v>
      </c>
      <c r="R44" s="114">
        <f>Q44+1</f>
        <v>44740</v>
      </c>
      <c r="S44" s="114">
        <f t="shared" ref="S44:W44" si="4">R44+1</f>
        <v>44741</v>
      </c>
      <c r="T44" s="114">
        <f t="shared" si="4"/>
        <v>44742</v>
      </c>
      <c r="U44" s="114">
        <f t="shared" si="4"/>
        <v>44743</v>
      </c>
      <c r="V44" s="115">
        <f t="shared" si="4"/>
        <v>44744</v>
      </c>
      <c r="W44" s="115">
        <f t="shared" si="4"/>
        <v>44745</v>
      </c>
    </row>
    <row r="45" spans="9:23" s="4" customFormat="1" ht="11.25" customHeight="1">
      <c r="I45" s="118"/>
      <c r="J45" s="117"/>
      <c r="K45" s="118"/>
      <c r="L45" s="117"/>
      <c r="M45" s="118"/>
      <c r="N45" s="117"/>
      <c r="O45" s="124"/>
      <c r="Q45" s="12"/>
      <c r="R45" s="12"/>
      <c r="S45" s="12"/>
      <c r="T45" s="12"/>
      <c r="U45" s="12"/>
      <c r="V45" s="10"/>
      <c r="W45" s="10"/>
    </row>
    <row r="46" spans="9:23" s="4" customFormat="1" ht="5.25" customHeight="1">
      <c r="I46" s="118"/>
      <c r="J46" s="117"/>
      <c r="K46" s="118"/>
      <c r="L46" s="117"/>
      <c r="M46" s="118"/>
      <c r="N46" s="117"/>
      <c r="O46" s="124"/>
      <c r="Q46" s="130"/>
      <c r="R46" s="130"/>
      <c r="S46" s="130"/>
      <c r="T46" s="130"/>
      <c r="U46" s="130"/>
      <c r="V46" s="127" t="s">
        <v>18</v>
      </c>
      <c r="W46" s="127" t="s">
        <v>18</v>
      </c>
    </row>
    <row r="47" spans="9:23" s="7" customFormat="1" ht="5.25" customHeight="1">
      <c r="I47" s="118"/>
      <c r="J47" s="120"/>
      <c r="K47" s="118"/>
      <c r="L47" s="120"/>
      <c r="M47" s="118"/>
      <c r="N47" s="120"/>
      <c r="O47" s="124"/>
      <c r="Q47" s="130"/>
      <c r="R47" s="130"/>
      <c r="S47" s="130"/>
      <c r="T47" s="130"/>
      <c r="U47" s="130"/>
      <c r="V47" s="128" t="s">
        <v>8</v>
      </c>
      <c r="W47" s="128" t="s">
        <v>8</v>
      </c>
    </row>
    <row r="48" spans="9:23" s="7" customFormat="1" ht="5.25" customHeight="1">
      <c r="I48" s="118"/>
      <c r="J48" s="120"/>
      <c r="K48" s="118"/>
      <c r="L48" s="120"/>
      <c r="M48" s="118"/>
      <c r="N48" s="120"/>
      <c r="O48" s="124"/>
      <c r="Q48" s="130"/>
      <c r="R48" s="130"/>
      <c r="S48" s="130"/>
      <c r="T48" s="130"/>
      <c r="U48" s="130"/>
      <c r="V48" s="128" t="s">
        <v>9</v>
      </c>
      <c r="W48" s="128" t="s">
        <v>9</v>
      </c>
    </row>
    <row r="49" spans="1:23" s="7" customFormat="1" ht="5.25" customHeight="1">
      <c r="I49" s="118"/>
      <c r="J49" s="120"/>
      <c r="K49" s="118"/>
      <c r="L49" s="120"/>
      <c r="M49" s="118"/>
      <c r="N49" s="120"/>
      <c r="O49" s="124"/>
      <c r="Q49" s="130"/>
      <c r="R49" s="130"/>
      <c r="S49" s="130"/>
      <c r="T49" s="130"/>
      <c r="U49" s="130"/>
      <c r="V49" s="128" t="s">
        <v>10</v>
      </c>
      <c r="W49" s="128" t="s">
        <v>10</v>
      </c>
    </row>
    <row r="50" spans="1:23" s="7" customFormat="1" ht="5.25" customHeight="1">
      <c r="I50" s="120"/>
      <c r="J50" s="120"/>
      <c r="K50" s="120"/>
      <c r="L50" s="120"/>
      <c r="M50" s="120"/>
      <c r="N50" s="120"/>
      <c r="O50" s="120"/>
      <c r="Q50" s="130"/>
      <c r="R50" s="130"/>
      <c r="S50" s="130"/>
      <c r="T50" s="130"/>
      <c r="U50" s="130"/>
      <c r="V50" s="128" t="s">
        <v>11</v>
      </c>
      <c r="W50" s="128" t="s">
        <v>11</v>
      </c>
    </row>
    <row r="51" spans="1:23" s="7" customFormat="1" ht="5.25" customHeight="1">
      <c r="I51" s="120"/>
      <c r="J51" s="120"/>
      <c r="K51" s="120"/>
      <c r="L51" s="120"/>
      <c r="M51" s="120"/>
      <c r="N51" s="120"/>
      <c r="O51" s="120"/>
      <c r="Q51" s="130"/>
      <c r="R51" s="130"/>
      <c r="S51" s="130"/>
      <c r="T51" s="130"/>
      <c r="U51" s="130"/>
      <c r="V51" s="129" t="s">
        <v>14</v>
      </c>
      <c r="W51" s="129" t="s">
        <v>14</v>
      </c>
    </row>
    <row r="52" spans="1:23" s="7" customFormat="1" ht="5.25" customHeight="1">
      <c r="Q52" s="130"/>
      <c r="R52" s="130"/>
      <c r="S52" s="130"/>
      <c r="T52" s="130"/>
      <c r="U52" s="130"/>
      <c r="V52" s="128" t="s">
        <v>12</v>
      </c>
      <c r="W52" s="128" t="s">
        <v>12</v>
      </c>
    </row>
    <row r="53" spans="1:23" ht="10.5" customHeight="1">
      <c r="Q53" s="14"/>
      <c r="R53" s="14"/>
      <c r="S53" s="14"/>
      <c r="T53" s="14"/>
      <c r="U53" s="14"/>
      <c r="V53" s="9"/>
      <c r="W53" s="9"/>
    </row>
    <row r="54" spans="1:23" ht="10.5" customHeight="1" thickBot="1">
      <c r="Q54" s="15"/>
      <c r="R54" s="15"/>
      <c r="S54" s="15"/>
      <c r="T54" s="15"/>
      <c r="U54" s="15"/>
      <c r="V54" s="17"/>
      <c r="W54" s="17"/>
    </row>
    <row r="55" spans="1:23" s="4" customFormat="1" ht="11.25" customHeight="1">
      <c r="A55" s="5"/>
      <c r="B55" s="5"/>
      <c r="C55" s="5"/>
      <c r="D55" s="5"/>
      <c r="E55" s="5"/>
      <c r="F55" s="5"/>
      <c r="G55" s="5"/>
    </row>
  </sheetData>
  <pageMargins left="0.7" right="0.7" top="0.75" bottom="0.75" header="0.3" footer="0.3"/>
  <pageSetup paperSize="10000" scale="96" orientation="landscape" r:id="rId1"/>
  <drawing r:id="rId2"/>
  <legacyDrawing r:id="rId3"/>
  <controls>
    <mc:AlternateContent xmlns:mc="http://schemas.openxmlformats.org/markup-compatibility/2006">
      <mc:Choice Requires="x14">
        <control shapeId="18433" r:id="rId4" name="ComboCalendario">
          <controlPr defaultSize="0" autoLine="0" r:id="rId5">
            <anchor moveWithCells="1">
              <from>
                <xdr:col>16</xdr:col>
                <xdr:colOff>38100</xdr:colOff>
                <xdr:row>0</xdr:row>
                <xdr:rowOff>47625</xdr:rowOff>
              </from>
              <to>
                <xdr:col>19</xdr:col>
                <xdr:colOff>9525</xdr:colOff>
                <xdr:row>0</xdr:row>
                <xdr:rowOff>276225</xdr:rowOff>
              </to>
            </anchor>
          </controlPr>
        </control>
      </mc:Choice>
      <mc:Fallback>
        <control shapeId="18433" r:id="rId4" name="ComboCalendario"/>
      </mc:Fallback>
    </mc:AlternateContent>
    <mc:AlternateContent xmlns:mc="http://schemas.openxmlformats.org/markup-compatibility/2006">
      <mc:Choice Requires="x14">
        <control shapeId="18434" r:id="rId6" name="CommandButton1">
          <controlPr defaultSize="0" autoLine="0" r:id="rId7">
            <anchor moveWithCells="1">
              <from>
                <xdr:col>12</xdr:col>
                <xdr:colOff>114300</xdr:colOff>
                <xdr:row>1</xdr:row>
                <xdr:rowOff>66675</xdr:rowOff>
              </from>
              <to>
                <xdr:col>14</xdr:col>
                <xdr:colOff>685800</xdr:colOff>
                <xdr:row>2</xdr:row>
                <xdr:rowOff>133350</xdr:rowOff>
              </to>
            </anchor>
          </controlPr>
        </control>
      </mc:Choice>
      <mc:Fallback>
        <control shapeId="18434" r:id="rId6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4492159-581B-4CF6-8DC0-FD2A7B159464}">
            <xm:f>Q3&gt;EOMONTH(PARAMETROS!$D$13,0)</xm:f>
            <x14:dxf>
              <font>
                <b val="0"/>
                <i val="0"/>
              </font>
              <fill>
                <patternFill>
                  <bgColor theme="2" tint="-9.9948118533890809E-2"/>
                </patternFill>
              </fill>
            </x14:dxf>
          </x14:cfRule>
          <x14:cfRule type="expression" priority="2" id="{885E7A75-888F-40B9-9411-3AFC976237D4}">
            <xm:f>Q3&lt;PARAMETROS!$D$13</xm:f>
            <x14:dxf>
              <font>
                <b val="0"/>
                <i val="0"/>
              </font>
              <fill>
                <patternFill patternType="solid">
                  <bgColor theme="2" tint="-9.9948118533890809E-2"/>
                </patternFill>
              </fill>
            </x14:dxf>
          </x14:cfRule>
          <xm:sqref>Q3:W3 Q11:W11 Q22:W22 Q33:W33 Q44:W44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998C62-4DFF-4669-AD8C-E2D2DD7F5805}">
          <x14:formula1>
            <xm:f>PARAMETROS!$D$2:$D$12</xm:f>
          </x14:formula1>
          <xm:sqref>A1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0EAD9-5734-4E7F-88D6-6ABA957144EF}">
  <dimension ref="A1:AL13"/>
  <sheetViews>
    <sheetView tabSelected="1" workbookViewId="0">
      <selection activeCell="AS16" sqref="AS16"/>
    </sheetView>
  </sheetViews>
  <sheetFormatPr baseColWidth="10" defaultRowHeight="15"/>
  <cols>
    <col min="1" max="1" width="12" customWidth="1"/>
    <col min="2" max="38" width="2.7109375" style="135" customWidth="1"/>
  </cols>
  <sheetData>
    <row r="1" spans="1:38">
      <c r="A1" s="173">
        <v>2022</v>
      </c>
      <c r="B1" s="169" t="s">
        <v>306</v>
      </c>
      <c r="C1" s="169" t="s">
        <v>316</v>
      </c>
      <c r="D1" s="135" t="s">
        <v>317</v>
      </c>
      <c r="E1" s="135" t="s">
        <v>302</v>
      </c>
      <c r="F1" s="135" t="s">
        <v>302</v>
      </c>
      <c r="G1" s="135" t="s">
        <v>318</v>
      </c>
      <c r="H1" s="135" t="s">
        <v>319</v>
      </c>
      <c r="I1" s="169" t="s">
        <v>306</v>
      </c>
      <c r="J1" s="169" t="s">
        <v>316</v>
      </c>
      <c r="K1" s="135" t="s">
        <v>317</v>
      </c>
      <c r="L1" s="135" t="s">
        <v>302</v>
      </c>
      <c r="M1" s="135" t="s">
        <v>302</v>
      </c>
      <c r="N1" s="135" t="s">
        <v>318</v>
      </c>
      <c r="O1" s="135" t="s">
        <v>319</v>
      </c>
      <c r="P1" s="169" t="s">
        <v>306</v>
      </c>
      <c r="Q1" s="169" t="s">
        <v>316</v>
      </c>
      <c r="R1" s="135" t="s">
        <v>317</v>
      </c>
      <c r="S1" s="135" t="s">
        <v>302</v>
      </c>
      <c r="T1" s="135" t="s">
        <v>302</v>
      </c>
      <c r="U1" s="135" t="s">
        <v>318</v>
      </c>
      <c r="V1" s="135" t="s">
        <v>319</v>
      </c>
      <c r="W1" s="169" t="s">
        <v>306</v>
      </c>
      <c r="X1" s="169" t="s">
        <v>316</v>
      </c>
      <c r="Y1" s="135" t="s">
        <v>317</v>
      </c>
      <c r="Z1" s="135" t="s">
        <v>302</v>
      </c>
      <c r="AA1" s="135" t="s">
        <v>302</v>
      </c>
      <c r="AB1" s="135" t="s">
        <v>318</v>
      </c>
      <c r="AC1" s="135" t="s">
        <v>319</v>
      </c>
      <c r="AD1" s="169" t="s">
        <v>306</v>
      </c>
      <c r="AE1" s="169" t="s">
        <v>316</v>
      </c>
      <c r="AF1" s="135" t="s">
        <v>317</v>
      </c>
      <c r="AG1" s="135" t="s">
        <v>302</v>
      </c>
      <c r="AH1" s="135" t="s">
        <v>302</v>
      </c>
      <c r="AI1" s="135" t="s">
        <v>318</v>
      </c>
      <c r="AJ1" s="135" t="s">
        <v>319</v>
      </c>
      <c r="AK1" s="169" t="s">
        <v>306</v>
      </c>
      <c r="AL1" s="169" t="s">
        <v>316</v>
      </c>
    </row>
    <row r="2" spans="1:38">
      <c r="A2" t="s">
        <v>20</v>
      </c>
      <c r="B2" s="169"/>
      <c r="C2" s="169"/>
      <c r="I2" s="169"/>
      <c r="J2" s="169"/>
      <c r="P2" s="169"/>
      <c r="Q2" s="169"/>
      <c r="W2" s="169"/>
      <c r="X2" s="169"/>
      <c r="AD2" s="169"/>
      <c r="AE2" s="169"/>
      <c r="AK2" s="169"/>
      <c r="AL2" s="169"/>
    </row>
    <row r="3" spans="1:38">
      <c r="A3" t="s">
        <v>15</v>
      </c>
      <c r="B3" s="169"/>
      <c r="C3" s="169"/>
      <c r="E3" s="170">
        <v>1</v>
      </c>
      <c r="F3" s="170">
        <v>2</v>
      </c>
      <c r="G3" s="170">
        <v>3</v>
      </c>
      <c r="H3" s="170">
        <v>4</v>
      </c>
      <c r="I3" s="169">
        <v>5</v>
      </c>
      <c r="J3" s="169">
        <v>6</v>
      </c>
      <c r="K3" s="170">
        <v>7</v>
      </c>
      <c r="L3" s="170">
        <v>8</v>
      </c>
      <c r="M3" s="170">
        <v>9</v>
      </c>
      <c r="N3" s="170">
        <v>10</v>
      </c>
      <c r="O3" s="170">
        <v>11</v>
      </c>
      <c r="P3" s="169">
        <v>12</v>
      </c>
      <c r="Q3" s="169">
        <v>13</v>
      </c>
      <c r="R3" s="170">
        <v>14</v>
      </c>
      <c r="S3" s="170">
        <v>15</v>
      </c>
      <c r="T3" s="170">
        <v>16</v>
      </c>
      <c r="U3" s="170">
        <v>17</v>
      </c>
      <c r="V3" s="170">
        <v>18</v>
      </c>
      <c r="W3" s="169">
        <v>19</v>
      </c>
      <c r="X3" s="169">
        <v>20</v>
      </c>
      <c r="Y3" s="170">
        <v>21</v>
      </c>
      <c r="Z3" s="170">
        <v>22</v>
      </c>
      <c r="AA3" s="170">
        <v>23</v>
      </c>
      <c r="AB3" s="170">
        <v>24</v>
      </c>
      <c r="AC3" s="170">
        <v>25</v>
      </c>
      <c r="AD3" s="169">
        <v>26</v>
      </c>
      <c r="AE3" s="169">
        <v>27</v>
      </c>
      <c r="AF3" s="170">
        <v>28</v>
      </c>
      <c r="AK3" s="169"/>
      <c r="AL3" s="169"/>
    </row>
    <row r="4" spans="1:38">
      <c r="A4" t="s">
        <v>17</v>
      </c>
      <c r="B4" s="169"/>
      <c r="C4" s="169"/>
      <c r="E4" s="170">
        <v>1</v>
      </c>
      <c r="F4" s="170">
        <v>2</v>
      </c>
      <c r="G4" s="170">
        <v>3</v>
      </c>
      <c r="H4" s="170">
        <v>4</v>
      </c>
      <c r="I4" s="169">
        <v>5</v>
      </c>
      <c r="J4" s="169">
        <v>6</v>
      </c>
      <c r="K4" s="170">
        <v>7</v>
      </c>
      <c r="L4" s="170">
        <v>8</v>
      </c>
      <c r="M4" s="170">
        <v>9</v>
      </c>
      <c r="N4" s="170">
        <v>10</v>
      </c>
      <c r="O4" s="170">
        <v>11</v>
      </c>
      <c r="P4" s="169">
        <v>12</v>
      </c>
      <c r="Q4" s="169">
        <v>13</v>
      </c>
      <c r="R4" s="170">
        <v>14</v>
      </c>
      <c r="S4" s="170">
        <v>15</v>
      </c>
      <c r="T4" s="170">
        <v>16</v>
      </c>
      <c r="U4" s="170">
        <v>17</v>
      </c>
      <c r="V4" s="170">
        <v>18</v>
      </c>
      <c r="W4" s="169">
        <v>19</v>
      </c>
      <c r="X4" s="169">
        <v>20</v>
      </c>
      <c r="Y4" s="171">
        <v>21</v>
      </c>
      <c r="Z4" s="170">
        <v>22</v>
      </c>
      <c r="AA4" s="170">
        <v>23</v>
      </c>
      <c r="AB4" s="170">
        <v>24</v>
      </c>
      <c r="AC4" s="170">
        <v>25</v>
      </c>
      <c r="AD4" s="169">
        <v>26</v>
      </c>
      <c r="AE4" s="169">
        <v>27</v>
      </c>
      <c r="AF4" s="170">
        <v>28</v>
      </c>
      <c r="AG4" s="170">
        <v>29</v>
      </c>
      <c r="AH4" s="170">
        <v>30</v>
      </c>
      <c r="AI4" s="170">
        <v>31</v>
      </c>
      <c r="AK4" s="169"/>
      <c r="AL4" s="169"/>
    </row>
    <row r="5" spans="1:38">
      <c r="A5" t="s">
        <v>21</v>
      </c>
      <c r="B5" s="169"/>
      <c r="C5" s="169"/>
      <c r="H5" s="170">
        <v>1</v>
      </c>
      <c r="I5" s="169">
        <v>2</v>
      </c>
      <c r="J5" s="169">
        <v>3</v>
      </c>
      <c r="K5" s="170">
        <v>4</v>
      </c>
      <c r="L5" s="170">
        <v>5</v>
      </c>
      <c r="M5" s="170">
        <v>6</v>
      </c>
      <c r="N5" s="170">
        <v>7</v>
      </c>
      <c r="O5" s="170">
        <v>8</v>
      </c>
      <c r="P5" s="169">
        <v>9</v>
      </c>
      <c r="Q5" s="169">
        <v>10</v>
      </c>
      <c r="R5" s="170">
        <v>11</v>
      </c>
      <c r="S5" s="170">
        <v>12</v>
      </c>
      <c r="T5" s="170">
        <v>13</v>
      </c>
      <c r="U5" s="171">
        <v>14</v>
      </c>
      <c r="V5" s="171">
        <v>15</v>
      </c>
      <c r="W5" s="169">
        <v>16</v>
      </c>
      <c r="X5" s="169">
        <v>17</v>
      </c>
      <c r="Y5" s="170">
        <v>18</v>
      </c>
      <c r="Z5" s="170">
        <v>19</v>
      </c>
      <c r="AA5" s="170">
        <v>20</v>
      </c>
      <c r="AB5" s="170">
        <v>21</v>
      </c>
      <c r="AC5" s="170">
        <v>22</v>
      </c>
      <c r="AD5" s="169">
        <v>23</v>
      </c>
      <c r="AE5" s="169">
        <v>24</v>
      </c>
      <c r="AF5" s="170">
        <v>25</v>
      </c>
      <c r="AG5" s="170">
        <v>26</v>
      </c>
      <c r="AH5" s="170">
        <v>27</v>
      </c>
      <c r="AI5" s="170">
        <v>28</v>
      </c>
      <c r="AJ5" s="170">
        <v>29</v>
      </c>
      <c r="AK5" s="169">
        <v>30</v>
      </c>
      <c r="AL5" s="169"/>
    </row>
    <row r="6" spans="1:38">
      <c r="A6" t="s">
        <v>22</v>
      </c>
      <c r="B6" s="169"/>
      <c r="C6" s="169">
        <v>1</v>
      </c>
      <c r="D6" s="170">
        <v>2</v>
      </c>
      <c r="E6" s="170">
        <v>3</v>
      </c>
      <c r="F6" s="170">
        <v>4</v>
      </c>
      <c r="G6" s="170">
        <v>5</v>
      </c>
      <c r="H6" s="170">
        <v>6</v>
      </c>
      <c r="I6" s="169">
        <v>7</v>
      </c>
      <c r="J6" s="169">
        <v>8</v>
      </c>
      <c r="K6" s="170">
        <v>9</v>
      </c>
      <c r="L6" s="170">
        <v>10</v>
      </c>
      <c r="M6" s="170">
        <v>11</v>
      </c>
      <c r="N6" s="170">
        <v>12</v>
      </c>
      <c r="O6" s="170">
        <v>13</v>
      </c>
      <c r="P6" s="169">
        <v>14</v>
      </c>
      <c r="Q6" s="169">
        <v>15</v>
      </c>
      <c r="R6" s="170">
        <v>16</v>
      </c>
      <c r="S6" s="170">
        <v>17</v>
      </c>
      <c r="T6" s="170">
        <v>18</v>
      </c>
      <c r="U6" s="170">
        <v>19</v>
      </c>
      <c r="V6" s="170">
        <v>20</v>
      </c>
      <c r="W6" s="169">
        <v>21</v>
      </c>
      <c r="X6" s="169">
        <v>22</v>
      </c>
      <c r="Y6" s="170">
        <v>23</v>
      </c>
      <c r="Z6" s="170">
        <v>24</v>
      </c>
      <c r="AA6" s="170">
        <v>25</v>
      </c>
      <c r="AB6" s="170">
        <v>26</v>
      </c>
      <c r="AC6" s="170">
        <v>27</v>
      </c>
      <c r="AD6" s="169">
        <v>28</v>
      </c>
      <c r="AE6" s="169">
        <v>29</v>
      </c>
      <c r="AF6" s="171">
        <v>30</v>
      </c>
      <c r="AG6" s="170">
        <v>31</v>
      </c>
      <c r="AK6" s="169"/>
      <c r="AL6" s="169"/>
    </row>
    <row r="7" spans="1:38">
      <c r="A7" t="s">
        <v>23</v>
      </c>
      <c r="B7" s="169"/>
      <c r="C7" s="169"/>
      <c r="F7" s="135">
        <v>1</v>
      </c>
      <c r="G7" s="135">
        <v>2</v>
      </c>
      <c r="H7" s="170">
        <v>3</v>
      </c>
      <c r="I7" s="169">
        <v>4</v>
      </c>
      <c r="J7" s="169">
        <v>5</v>
      </c>
      <c r="K7" s="170">
        <v>6</v>
      </c>
      <c r="L7" s="170">
        <v>7</v>
      </c>
      <c r="M7" s="170">
        <v>8</v>
      </c>
      <c r="N7" s="170">
        <v>9</v>
      </c>
      <c r="O7" s="170">
        <v>10</v>
      </c>
      <c r="P7" s="169">
        <v>11</v>
      </c>
      <c r="Q7" s="169">
        <v>12</v>
      </c>
      <c r="R7" s="170">
        <v>13</v>
      </c>
      <c r="S7" s="170">
        <v>14</v>
      </c>
      <c r="T7" s="170">
        <v>15</v>
      </c>
      <c r="U7" s="170">
        <v>16</v>
      </c>
      <c r="V7" s="170">
        <v>17</v>
      </c>
      <c r="W7" s="169">
        <v>18</v>
      </c>
      <c r="X7" s="169">
        <v>19</v>
      </c>
      <c r="Y7" s="171">
        <v>20</v>
      </c>
      <c r="Z7" s="170">
        <v>21</v>
      </c>
      <c r="AA7" s="170">
        <v>22</v>
      </c>
      <c r="AB7" s="170">
        <v>23</v>
      </c>
      <c r="AC7" s="170">
        <v>24</v>
      </c>
      <c r="AD7" s="169">
        <v>25</v>
      </c>
      <c r="AE7" s="169">
        <v>26</v>
      </c>
      <c r="AF7" s="172">
        <v>27</v>
      </c>
      <c r="AG7" s="172">
        <v>28</v>
      </c>
      <c r="AH7" s="172">
        <v>29</v>
      </c>
      <c r="AI7" s="172">
        <v>30</v>
      </c>
      <c r="AK7" s="169"/>
      <c r="AL7" s="169"/>
    </row>
    <row r="8" spans="1:38">
      <c r="A8" t="s">
        <v>24</v>
      </c>
      <c r="B8" s="169"/>
      <c r="C8" s="169"/>
      <c r="H8" s="172">
        <v>1</v>
      </c>
      <c r="I8" s="169">
        <v>2</v>
      </c>
      <c r="J8" s="169">
        <v>3</v>
      </c>
      <c r="K8" s="172">
        <v>4</v>
      </c>
      <c r="L8" s="172">
        <v>5</v>
      </c>
      <c r="M8" s="172">
        <v>6</v>
      </c>
      <c r="N8" s="172">
        <v>7</v>
      </c>
      <c r="O8" s="172">
        <v>8</v>
      </c>
      <c r="P8" s="169">
        <v>9</v>
      </c>
      <c r="Q8" s="169">
        <v>10</v>
      </c>
      <c r="R8" s="170">
        <v>11</v>
      </c>
      <c r="S8" s="170">
        <v>12</v>
      </c>
      <c r="T8" s="170">
        <v>13</v>
      </c>
      <c r="U8" s="170">
        <v>14</v>
      </c>
      <c r="V8" s="170">
        <v>15</v>
      </c>
      <c r="W8" s="169">
        <v>16</v>
      </c>
      <c r="X8" s="169">
        <v>17</v>
      </c>
      <c r="Y8" s="170">
        <v>18</v>
      </c>
      <c r="Z8" s="170">
        <v>19</v>
      </c>
      <c r="AA8" s="171">
        <v>20</v>
      </c>
      <c r="AB8" s="170">
        <v>21</v>
      </c>
      <c r="AC8" s="170">
        <v>22</v>
      </c>
      <c r="AD8" s="169">
        <v>23</v>
      </c>
      <c r="AE8" s="169">
        <v>24</v>
      </c>
      <c r="AF8" s="170">
        <v>25</v>
      </c>
      <c r="AG8" s="170">
        <v>26</v>
      </c>
      <c r="AH8" s="170">
        <v>27</v>
      </c>
      <c r="AI8" s="170">
        <v>28</v>
      </c>
      <c r="AJ8" s="170">
        <v>29</v>
      </c>
      <c r="AK8" s="169">
        <v>30</v>
      </c>
      <c r="AL8" s="169">
        <v>31</v>
      </c>
    </row>
    <row r="9" spans="1:38">
      <c r="A9" t="s">
        <v>25</v>
      </c>
      <c r="B9" s="169"/>
      <c r="C9" s="169"/>
      <c r="D9" s="170">
        <v>1</v>
      </c>
      <c r="E9" s="170">
        <v>2</v>
      </c>
      <c r="F9" s="170">
        <v>3</v>
      </c>
      <c r="G9" s="170">
        <v>4</v>
      </c>
      <c r="H9" s="170">
        <v>5</v>
      </c>
      <c r="I9" s="169">
        <v>6</v>
      </c>
      <c r="J9" s="169">
        <v>7</v>
      </c>
      <c r="K9" s="170">
        <v>8</v>
      </c>
      <c r="L9" s="170">
        <v>9</v>
      </c>
      <c r="M9" s="170">
        <v>10</v>
      </c>
      <c r="N9" s="170">
        <v>11</v>
      </c>
      <c r="O9" s="170">
        <v>12</v>
      </c>
      <c r="P9" s="169">
        <v>13</v>
      </c>
      <c r="Q9" s="169">
        <v>14</v>
      </c>
      <c r="R9" s="171">
        <v>15</v>
      </c>
      <c r="S9" s="170">
        <v>16</v>
      </c>
      <c r="T9" s="170">
        <v>17</v>
      </c>
      <c r="U9" s="170">
        <v>18</v>
      </c>
      <c r="V9" s="170">
        <v>19</v>
      </c>
      <c r="W9" s="169">
        <v>20</v>
      </c>
      <c r="X9" s="169">
        <v>21</v>
      </c>
      <c r="Y9" s="170">
        <v>22</v>
      </c>
      <c r="Z9" s="170">
        <v>23</v>
      </c>
      <c r="AA9" s="170">
        <v>24</v>
      </c>
      <c r="AB9" s="170">
        <v>25</v>
      </c>
      <c r="AC9" s="170">
        <v>26</v>
      </c>
      <c r="AD9" s="169">
        <v>27</v>
      </c>
      <c r="AE9" s="169">
        <v>28</v>
      </c>
      <c r="AF9" s="170">
        <v>29</v>
      </c>
      <c r="AG9" s="170">
        <v>30</v>
      </c>
      <c r="AH9" s="170">
        <v>31</v>
      </c>
      <c r="AK9" s="169"/>
      <c r="AL9" s="169"/>
    </row>
    <row r="10" spans="1:38">
      <c r="A10" t="s">
        <v>26</v>
      </c>
      <c r="B10" s="169"/>
      <c r="C10" s="169"/>
      <c r="G10" s="170">
        <v>1</v>
      </c>
      <c r="H10" s="170">
        <v>2</v>
      </c>
      <c r="I10" s="169">
        <v>3</v>
      </c>
      <c r="J10" s="169">
        <v>4</v>
      </c>
      <c r="K10" s="170">
        <v>5</v>
      </c>
      <c r="L10" s="170">
        <v>6</v>
      </c>
      <c r="M10" s="170">
        <v>7</v>
      </c>
      <c r="N10" s="170">
        <v>8</v>
      </c>
      <c r="O10" s="170">
        <v>9</v>
      </c>
      <c r="P10" s="169">
        <v>10</v>
      </c>
      <c r="Q10" s="169">
        <v>11</v>
      </c>
      <c r="R10" s="170">
        <v>12</v>
      </c>
      <c r="S10" s="170">
        <v>13</v>
      </c>
      <c r="T10" s="170">
        <v>14</v>
      </c>
      <c r="U10" s="170">
        <v>15</v>
      </c>
      <c r="V10" s="170">
        <v>16</v>
      </c>
      <c r="W10" s="169">
        <v>17</v>
      </c>
      <c r="X10" s="169">
        <v>18</v>
      </c>
      <c r="Y10" s="170">
        <v>19</v>
      </c>
      <c r="Z10" s="170">
        <v>20</v>
      </c>
      <c r="AA10" s="170">
        <v>21</v>
      </c>
      <c r="AB10" s="170">
        <v>22</v>
      </c>
      <c r="AC10" s="170">
        <v>23</v>
      </c>
      <c r="AD10" s="169">
        <v>24</v>
      </c>
      <c r="AE10" s="169">
        <v>25</v>
      </c>
      <c r="AF10" s="170">
        <v>26</v>
      </c>
      <c r="AG10" s="170">
        <v>27</v>
      </c>
      <c r="AH10" s="170">
        <v>28</v>
      </c>
      <c r="AI10" s="170">
        <v>29</v>
      </c>
      <c r="AJ10" s="170">
        <v>30</v>
      </c>
      <c r="AK10" s="169"/>
      <c r="AL10" s="169"/>
    </row>
    <row r="11" spans="1:38">
      <c r="A11" t="s">
        <v>27</v>
      </c>
      <c r="B11" s="169">
        <v>1</v>
      </c>
      <c r="C11" s="169">
        <v>2</v>
      </c>
      <c r="D11" s="170">
        <v>3</v>
      </c>
      <c r="E11" s="170">
        <v>4</v>
      </c>
      <c r="F11" s="170">
        <v>5</v>
      </c>
      <c r="G11" s="170">
        <v>6</v>
      </c>
      <c r="H11" s="170">
        <v>7</v>
      </c>
      <c r="I11" s="169">
        <v>8</v>
      </c>
      <c r="J11" s="169">
        <v>9</v>
      </c>
      <c r="K11" s="172">
        <v>10</v>
      </c>
      <c r="L11" s="172">
        <v>11</v>
      </c>
      <c r="M11" s="172">
        <v>12</v>
      </c>
      <c r="N11" s="172">
        <v>13</v>
      </c>
      <c r="O11" s="172">
        <v>14</v>
      </c>
      <c r="P11" s="169">
        <v>15</v>
      </c>
      <c r="Q11" s="169">
        <v>16</v>
      </c>
      <c r="R11" s="171">
        <v>17</v>
      </c>
      <c r="S11" s="170">
        <v>18</v>
      </c>
      <c r="T11" s="170">
        <v>19</v>
      </c>
      <c r="U11" s="170">
        <v>20</v>
      </c>
      <c r="V11" s="170">
        <v>21</v>
      </c>
      <c r="W11" s="169">
        <v>22</v>
      </c>
      <c r="X11" s="169">
        <v>23</v>
      </c>
      <c r="Y11" s="170">
        <v>24</v>
      </c>
      <c r="Z11" s="170">
        <v>25</v>
      </c>
      <c r="AA11" s="170">
        <v>26</v>
      </c>
      <c r="AB11" s="170">
        <v>27</v>
      </c>
      <c r="AC11" s="170">
        <v>28</v>
      </c>
      <c r="AD11" s="169">
        <v>29</v>
      </c>
      <c r="AE11" s="169">
        <v>30</v>
      </c>
      <c r="AF11" s="170">
        <v>31</v>
      </c>
      <c r="AK11" s="169"/>
      <c r="AL11" s="169"/>
    </row>
    <row r="12" spans="1:38">
      <c r="A12" t="s">
        <v>28</v>
      </c>
      <c r="B12" s="169"/>
      <c r="C12" s="169"/>
      <c r="E12" s="170">
        <v>1</v>
      </c>
      <c r="F12" s="170">
        <v>2</v>
      </c>
      <c r="G12" s="170">
        <v>3</v>
      </c>
      <c r="H12" s="170">
        <v>4</v>
      </c>
      <c r="I12" s="169">
        <v>5</v>
      </c>
      <c r="J12" s="169">
        <v>6</v>
      </c>
      <c r="K12" s="171">
        <v>7</v>
      </c>
      <c r="L12" s="170">
        <v>8</v>
      </c>
      <c r="M12" s="170">
        <v>9</v>
      </c>
      <c r="N12" s="170">
        <v>10</v>
      </c>
      <c r="O12" s="170">
        <v>11</v>
      </c>
      <c r="P12" s="169">
        <v>12</v>
      </c>
      <c r="Q12" s="169">
        <v>13</v>
      </c>
      <c r="R12" s="171">
        <v>14</v>
      </c>
      <c r="S12" s="170">
        <v>15</v>
      </c>
      <c r="T12" s="170">
        <v>16</v>
      </c>
      <c r="U12" s="170">
        <v>17</v>
      </c>
      <c r="V12" s="170">
        <v>18</v>
      </c>
      <c r="W12" s="169">
        <v>19</v>
      </c>
      <c r="X12" s="169">
        <v>20</v>
      </c>
      <c r="Y12" s="169">
        <v>21</v>
      </c>
      <c r="Z12" s="169">
        <v>22</v>
      </c>
      <c r="AA12" s="169">
        <v>23</v>
      </c>
      <c r="AB12" s="169">
        <v>24</v>
      </c>
      <c r="AC12" s="169">
        <v>25</v>
      </c>
      <c r="AD12" s="169">
        <v>26</v>
      </c>
      <c r="AE12" s="169">
        <v>27</v>
      </c>
      <c r="AF12" s="169">
        <v>28</v>
      </c>
      <c r="AG12" s="169">
        <v>29</v>
      </c>
      <c r="AH12" s="169">
        <v>30</v>
      </c>
      <c r="AK12" s="169"/>
      <c r="AL12" s="169"/>
    </row>
    <row r="13" spans="1:38">
      <c r="A13" t="s">
        <v>315</v>
      </c>
      <c r="B13" s="169"/>
      <c r="C13" s="169"/>
      <c r="G13" s="169">
        <v>1</v>
      </c>
      <c r="H13" s="169">
        <v>2</v>
      </c>
      <c r="I13" s="169">
        <v>3</v>
      </c>
      <c r="J13" s="169">
        <v>4</v>
      </c>
      <c r="K13" s="174">
        <v>5</v>
      </c>
      <c r="L13" s="174">
        <v>6</v>
      </c>
      <c r="M13" s="174">
        <v>7</v>
      </c>
      <c r="N13" s="174">
        <v>8</v>
      </c>
      <c r="O13" s="174">
        <v>9</v>
      </c>
      <c r="P13" s="169">
        <v>10</v>
      </c>
      <c r="Q13" s="169">
        <v>11</v>
      </c>
      <c r="R13" s="174">
        <v>12</v>
      </c>
      <c r="S13" s="174">
        <v>13</v>
      </c>
      <c r="T13" s="174">
        <v>14</v>
      </c>
      <c r="U13" s="174">
        <v>15</v>
      </c>
      <c r="V13" s="174">
        <v>16</v>
      </c>
      <c r="W13" s="169">
        <v>17</v>
      </c>
      <c r="X13" s="169">
        <v>18</v>
      </c>
      <c r="Y13" s="174">
        <v>19</v>
      </c>
      <c r="Z13" s="174">
        <v>20</v>
      </c>
      <c r="AA13" s="174">
        <v>21</v>
      </c>
      <c r="AB13" s="174">
        <v>22</v>
      </c>
      <c r="AC13" s="174">
        <v>23</v>
      </c>
      <c r="AD13" s="169">
        <v>24</v>
      </c>
      <c r="AE13" s="169">
        <v>25</v>
      </c>
      <c r="AF13" s="174">
        <v>26</v>
      </c>
      <c r="AG13" s="174">
        <v>27</v>
      </c>
      <c r="AH13" s="174">
        <v>28</v>
      </c>
      <c r="AI13" s="174">
        <v>29</v>
      </c>
      <c r="AJ13" s="174">
        <v>30</v>
      </c>
      <c r="AK13" s="169">
        <v>31</v>
      </c>
      <c r="AL13" s="169"/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FBF3-6CF0-4E6A-8653-FFBD629464DF}">
  <dimension ref="B1:V11"/>
  <sheetViews>
    <sheetView workbookViewId="0">
      <selection activeCell="D15" sqref="D15"/>
    </sheetView>
  </sheetViews>
  <sheetFormatPr baseColWidth="10" defaultRowHeight="15"/>
  <cols>
    <col min="2" max="2" width="14.85546875" bestFit="1" customWidth="1"/>
    <col min="3" max="3" width="30.5703125" bestFit="1" customWidth="1"/>
    <col min="4" max="4" width="12.85546875" bestFit="1" customWidth="1"/>
    <col min="6" max="15" width="3.85546875" style="135" customWidth="1"/>
    <col min="19" max="19" width="16.85546875" bestFit="1" customWidth="1"/>
  </cols>
  <sheetData>
    <row r="1" spans="2:22">
      <c r="F1" s="175" t="s">
        <v>290</v>
      </c>
      <c r="G1" s="175"/>
      <c r="H1" s="175"/>
      <c r="I1" s="175"/>
      <c r="J1" s="175"/>
      <c r="K1" s="175" t="s">
        <v>291</v>
      </c>
      <c r="L1" s="175"/>
      <c r="M1" s="175"/>
      <c r="N1" s="175"/>
      <c r="O1" s="175"/>
    </row>
    <row r="2" spans="2:22" ht="75" customHeight="1">
      <c r="C2" s="167" t="s">
        <v>292</v>
      </c>
      <c r="D2" s="167" t="s">
        <v>293</v>
      </c>
      <c r="E2" s="167" t="s">
        <v>294</v>
      </c>
      <c r="F2" s="168" t="s">
        <v>284</v>
      </c>
      <c r="G2" s="168" t="s">
        <v>286</v>
      </c>
      <c r="H2" s="168" t="s">
        <v>287</v>
      </c>
      <c r="I2" s="168" t="s">
        <v>288</v>
      </c>
      <c r="J2" s="168" t="s">
        <v>295</v>
      </c>
      <c r="K2" s="168" t="s">
        <v>284</v>
      </c>
      <c r="L2" s="168" t="s">
        <v>286</v>
      </c>
      <c r="M2" s="168" t="s">
        <v>287</v>
      </c>
      <c r="N2" s="168" t="s">
        <v>288</v>
      </c>
      <c r="O2" s="168" t="s">
        <v>295</v>
      </c>
      <c r="T2" t="s">
        <v>296</v>
      </c>
      <c r="U2" t="s">
        <v>297</v>
      </c>
      <c r="V2" t="s">
        <v>298</v>
      </c>
    </row>
    <row r="3" spans="2:22">
      <c r="B3" t="s">
        <v>299</v>
      </c>
      <c r="C3" t="s">
        <v>300</v>
      </c>
      <c r="D3" s="135" t="s">
        <v>301</v>
      </c>
      <c r="E3" s="135" t="s">
        <v>301</v>
      </c>
      <c r="F3" s="135" t="s">
        <v>302</v>
      </c>
      <c r="G3" s="135" t="s">
        <v>303</v>
      </c>
      <c r="H3" s="135" t="s">
        <v>303</v>
      </c>
      <c r="J3" s="135" t="s">
        <v>303</v>
      </c>
      <c r="K3" s="135" t="s">
        <v>303</v>
      </c>
      <c r="L3" s="135" t="s">
        <v>303</v>
      </c>
      <c r="M3" s="135" t="s">
        <v>303</v>
      </c>
      <c r="O3" s="135" t="s">
        <v>303</v>
      </c>
      <c r="S3" t="s">
        <v>304</v>
      </c>
    </row>
    <row r="4" spans="2:22">
      <c r="B4" t="s">
        <v>299</v>
      </c>
      <c r="C4" t="s">
        <v>300</v>
      </c>
      <c r="D4" s="135" t="s">
        <v>305</v>
      </c>
      <c r="E4" s="135" t="s">
        <v>301</v>
      </c>
      <c r="F4" s="135" t="s">
        <v>302</v>
      </c>
      <c r="G4" s="135" t="s">
        <v>306</v>
      </c>
      <c r="H4" s="135" t="s">
        <v>303</v>
      </c>
      <c r="J4" s="135" t="s">
        <v>303</v>
      </c>
      <c r="K4" s="135" t="s">
        <v>303</v>
      </c>
      <c r="L4" s="135" t="s">
        <v>306</v>
      </c>
      <c r="M4" s="135" t="s">
        <v>303</v>
      </c>
      <c r="O4" s="135" t="s">
        <v>303</v>
      </c>
      <c r="S4" t="s">
        <v>307</v>
      </c>
    </row>
    <row r="5" spans="2:22">
      <c r="B5" t="s">
        <v>299</v>
      </c>
      <c r="C5" t="s">
        <v>14</v>
      </c>
      <c r="D5" s="135" t="s">
        <v>308</v>
      </c>
      <c r="E5" s="135" t="s">
        <v>301</v>
      </c>
      <c r="F5" s="135" t="s">
        <v>302</v>
      </c>
      <c r="G5" s="135" t="s">
        <v>306</v>
      </c>
      <c r="H5" s="135" t="s">
        <v>303</v>
      </c>
      <c r="J5" s="135" t="s">
        <v>303</v>
      </c>
      <c r="K5" s="135" t="s">
        <v>303</v>
      </c>
      <c r="L5" s="135" t="s">
        <v>306</v>
      </c>
      <c r="M5" s="135" t="s">
        <v>303</v>
      </c>
      <c r="O5" s="135" t="s">
        <v>303</v>
      </c>
      <c r="S5" t="s">
        <v>34</v>
      </c>
    </row>
    <row r="6" spans="2:22">
      <c r="B6" t="s">
        <v>18</v>
      </c>
      <c r="C6" t="s">
        <v>300</v>
      </c>
      <c r="D6" s="135" t="s">
        <v>309</v>
      </c>
      <c r="E6" s="135" t="s">
        <v>301</v>
      </c>
      <c r="F6" s="135" t="s">
        <v>302</v>
      </c>
      <c r="G6" s="135" t="s">
        <v>303</v>
      </c>
      <c r="H6" s="135" t="s">
        <v>303</v>
      </c>
      <c r="J6" s="135" t="s">
        <v>303</v>
      </c>
      <c r="K6" s="135" t="s">
        <v>303</v>
      </c>
      <c r="L6" s="135" t="s">
        <v>303</v>
      </c>
      <c r="M6" s="135" t="s">
        <v>303</v>
      </c>
      <c r="O6" s="135" t="s">
        <v>303</v>
      </c>
    </row>
    <row r="7" spans="2:22">
      <c r="B7" t="s">
        <v>18</v>
      </c>
      <c r="C7" t="s">
        <v>300</v>
      </c>
      <c r="D7" s="135" t="s">
        <v>310</v>
      </c>
      <c r="E7" s="135" t="s">
        <v>301</v>
      </c>
      <c r="F7" s="135" t="s">
        <v>302</v>
      </c>
      <c r="G7" s="135" t="s">
        <v>303</v>
      </c>
      <c r="H7" s="135" t="s">
        <v>303</v>
      </c>
      <c r="J7" s="135" t="s">
        <v>303</v>
      </c>
      <c r="K7" s="135" t="s">
        <v>303</v>
      </c>
      <c r="L7" s="135" t="s">
        <v>303</v>
      </c>
      <c r="M7" s="135" t="s">
        <v>303</v>
      </c>
      <c r="O7" s="135" t="s">
        <v>303</v>
      </c>
    </row>
    <row r="8" spans="2:22">
      <c r="B8" t="s">
        <v>18</v>
      </c>
      <c r="C8" t="s">
        <v>300</v>
      </c>
      <c r="D8" s="135" t="s">
        <v>311</v>
      </c>
      <c r="E8" s="135" t="s">
        <v>301</v>
      </c>
      <c r="F8" s="135" t="s">
        <v>302</v>
      </c>
      <c r="G8" s="135" t="s">
        <v>306</v>
      </c>
      <c r="H8" s="135" t="s">
        <v>303</v>
      </c>
      <c r="J8" s="135" t="s">
        <v>303</v>
      </c>
      <c r="K8" s="135" t="s">
        <v>303</v>
      </c>
      <c r="L8" s="135" t="s">
        <v>306</v>
      </c>
      <c r="M8" s="135" t="s">
        <v>303</v>
      </c>
      <c r="O8" s="135" t="s">
        <v>303</v>
      </c>
    </row>
    <row r="9" spans="2:22">
      <c r="B9" t="s">
        <v>7</v>
      </c>
      <c r="C9" t="s">
        <v>312</v>
      </c>
      <c r="D9" s="135" t="s">
        <v>301</v>
      </c>
      <c r="E9" s="135" t="s">
        <v>301</v>
      </c>
      <c r="F9" s="135" t="s">
        <v>302</v>
      </c>
      <c r="G9" s="135" t="s">
        <v>306</v>
      </c>
      <c r="H9" s="135" t="s">
        <v>306</v>
      </c>
      <c r="I9" s="135" t="s">
        <v>306</v>
      </c>
      <c r="J9" s="135" t="s">
        <v>306</v>
      </c>
      <c r="K9" s="135" t="s">
        <v>303</v>
      </c>
      <c r="L9" s="135" t="s">
        <v>306</v>
      </c>
      <c r="M9" s="135" t="s">
        <v>306</v>
      </c>
      <c r="N9" s="135" t="s">
        <v>306</v>
      </c>
      <c r="O9" s="135" t="s">
        <v>306</v>
      </c>
    </row>
    <row r="10" spans="2:22">
      <c r="B10" t="s">
        <v>251</v>
      </c>
      <c r="C10" t="s">
        <v>313</v>
      </c>
      <c r="D10" s="135" t="s">
        <v>301</v>
      </c>
      <c r="E10" s="135" t="s">
        <v>301</v>
      </c>
      <c r="F10" s="135" t="s">
        <v>302</v>
      </c>
      <c r="G10" s="135" t="s">
        <v>306</v>
      </c>
      <c r="H10" s="135" t="s">
        <v>306</v>
      </c>
      <c r="I10" s="135" t="s">
        <v>306</v>
      </c>
      <c r="J10" s="135" t="s">
        <v>306</v>
      </c>
      <c r="K10" s="135" t="s">
        <v>303</v>
      </c>
      <c r="L10" s="135" t="s">
        <v>306</v>
      </c>
      <c r="M10" s="135" t="s">
        <v>306</v>
      </c>
      <c r="N10" s="135" t="s">
        <v>306</v>
      </c>
      <c r="O10" s="135" t="s">
        <v>306</v>
      </c>
    </row>
    <row r="11" spans="2:22">
      <c r="B11" t="s">
        <v>251</v>
      </c>
      <c r="C11" t="s">
        <v>314</v>
      </c>
      <c r="D11" s="135" t="s">
        <v>301</v>
      </c>
      <c r="E11" s="135" t="s">
        <v>301</v>
      </c>
      <c r="F11" s="135" t="s">
        <v>302</v>
      </c>
      <c r="G11" s="135" t="s">
        <v>306</v>
      </c>
      <c r="H11" s="135" t="s">
        <v>306</v>
      </c>
      <c r="I11" s="135" t="s">
        <v>306</v>
      </c>
      <c r="J11" s="135" t="s">
        <v>306</v>
      </c>
      <c r="K11" s="135" t="s">
        <v>303</v>
      </c>
      <c r="L11" s="135" t="s">
        <v>306</v>
      </c>
      <c r="M11" s="135" t="s">
        <v>306</v>
      </c>
      <c r="N11" s="135" t="s">
        <v>306</v>
      </c>
      <c r="O11" s="135" t="s">
        <v>306</v>
      </c>
    </row>
  </sheetData>
  <mergeCells count="2">
    <mergeCell ref="F1:J1"/>
    <mergeCell ref="K1:O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33F88-7EDE-4E1D-9AFF-738158486427}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A476D-2FDB-4376-AF6B-7DB06C1E2ED1}">
  <sheetPr codeName="Hoja6"/>
  <dimension ref="A1:E14"/>
  <sheetViews>
    <sheetView workbookViewId="0">
      <selection activeCell="D13" sqref="D13"/>
    </sheetView>
  </sheetViews>
  <sheetFormatPr baseColWidth="10" defaultRowHeight="15"/>
  <cols>
    <col min="2" max="2" width="13" customWidth="1"/>
    <col min="3" max="3" width="23.7109375" bestFit="1" customWidth="1"/>
    <col min="4" max="4" width="12.140625" customWidth="1"/>
  </cols>
  <sheetData>
    <row r="1" spans="1:5">
      <c r="A1" t="s">
        <v>29</v>
      </c>
      <c r="B1" t="s">
        <v>30</v>
      </c>
      <c r="C1" t="s">
        <v>31</v>
      </c>
      <c r="D1" t="s">
        <v>32</v>
      </c>
      <c r="E1" t="s">
        <v>33</v>
      </c>
    </row>
    <row r="2" spans="1:5">
      <c r="A2">
        <v>1</v>
      </c>
      <c r="B2" t="s">
        <v>19</v>
      </c>
      <c r="C2" t="s">
        <v>34</v>
      </c>
      <c r="D2" t="s">
        <v>20</v>
      </c>
      <c r="E2" s="20">
        <v>1</v>
      </c>
    </row>
    <row r="3" spans="1:5">
      <c r="A3">
        <v>2</v>
      </c>
      <c r="B3" t="s">
        <v>19</v>
      </c>
      <c r="C3" t="s">
        <v>34</v>
      </c>
      <c r="D3" t="s">
        <v>15</v>
      </c>
      <c r="E3" s="20">
        <v>1</v>
      </c>
    </row>
    <row r="4" spans="1:5">
      <c r="A4">
        <v>3</v>
      </c>
      <c r="B4" t="s">
        <v>19</v>
      </c>
      <c r="C4" t="s">
        <v>34</v>
      </c>
      <c r="D4" t="s">
        <v>17</v>
      </c>
      <c r="E4" s="20">
        <v>1</v>
      </c>
    </row>
    <row r="5" spans="1:5">
      <c r="A5">
        <v>4</v>
      </c>
      <c r="B5" t="s">
        <v>19</v>
      </c>
      <c r="C5" t="s">
        <v>34</v>
      </c>
      <c r="D5" t="s">
        <v>21</v>
      </c>
      <c r="E5" s="20">
        <v>1</v>
      </c>
    </row>
    <row r="6" spans="1:5">
      <c r="A6">
        <v>5</v>
      </c>
      <c r="B6" t="s">
        <v>19</v>
      </c>
      <c r="C6" t="s">
        <v>34</v>
      </c>
      <c r="D6" t="s">
        <v>22</v>
      </c>
      <c r="E6" s="20">
        <v>1</v>
      </c>
    </row>
    <row r="7" spans="1:5">
      <c r="A7">
        <v>6</v>
      </c>
      <c r="B7" t="s">
        <v>19</v>
      </c>
      <c r="C7" t="s">
        <v>34</v>
      </c>
      <c r="D7" t="s">
        <v>23</v>
      </c>
      <c r="E7" s="20">
        <v>1</v>
      </c>
    </row>
    <row r="8" spans="1:5">
      <c r="A8">
        <v>7</v>
      </c>
      <c r="B8" t="s">
        <v>19</v>
      </c>
      <c r="C8" t="s">
        <v>34</v>
      </c>
      <c r="D8" t="s">
        <v>24</v>
      </c>
      <c r="E8" s="20">
        <v>1</v>
      </c>
    </row>
    <row r="9" spans="1:5">
      <c r="A9">
        <v>8</v>
      </c>
      <c r="B9" t="s">
        <v>19</v>
      </c>
      <c r="C9" t="s">
        <v>34</v>
      </c>
      <c r="D9" t="s">
        <v>25</v>
      </c>
      <c r="E9" s="20">
        <v>1</v>
      </c>
    </row>
    <row r="10" spans="1:5">
      <c r="A10">
        <v>9</v>
      </c>
      <c r="B10" t="s">
        <v>19</v>
      </c>
      <c r="C10" t="s">
        <v>34</v>
      </c>
      <c r="D10" t="s">
        <v>26</v>
      </c>
      <c r="E10" s="20">
        <v>1</v>
      </c>
    </row>
    <row r="11" spans="1:5">
      <c r="A11">
        <v>10</v>
      </c>
      <c r="B11" t="s">
        <v>19</v>
      </c>
      <c r="C11" t="s">
        <v>34</v>
      </c>
      <c r="D11" t="s">
        <v>27</v>
      </c>
      <c r="E11" s="20">
        <v>1</v>
      </c>
    </row>
    <row r="12" spans="1:5">
      <c r="A12">
        <v>11</v>
      </c>
      <c r="B12" t="s">
        <v>19</v>
      </c>
      <c r="C12" t="s">
        <v>34</v>
      </c>
      <c r="D12" t="s">
        <v>28</v>
      </c>
      <c r="E12" s="20">
        <v>1</v>
      </c>
    </row>
    <row r="13" spans="1:5">
      <c r="B13" t="s">
        <v>19</v>
      </c>
      <c r="C13" t="s">
        <v>249</v>
      </c>
      <c r="D13" s="112">
        <f>DATE(CALENDARIO!$A$1,MATCH(CALENDARIO!$B$1,PARAMETROS!$D$2:$D$12,0),1)</f>
        <v>44713</v>
      </c>
      <c r="E13" s="111">
        <v>1</v>
      </c>
    </row>
    <row r="14" spans="1:5">
      <c r="B14" t="s">
        <v>19</v>
      </c>
      <c r="C14" t="s">
        <v>250</v>
      </c>
      <c r="D14" s="1">
        <f>WEEKDAY(PARAMETROS!D13,3)</f>
        <v>2</v>
      </c>
      <c r="E14" s="111">
        <v>1</v>
      </c>
    </row>
  </sheetData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E819E-0641-428D-ADDC-73A3BE10CF6A}">
  <sheetPr codeName="Hoja1"/>
  <dimension ref="A1:W55"/>
  <sheetViews>
    <sheetView showGridLines="0" view="pageBreakPreview" zoomScale="110" zoomScaleNormal="130" zoomScaleSheetLayoutView="110" workbookViewId="0">
      <selection activeCell="A3" sqref="A3"/>
    </sheetView>
  </sheetViews>
  <sheetFormatPr baseColWidth="10" defaultRowHeight="15"/>
  <cols>
    <col min="1" max="7" width="13.7109375" style="1" customWidth="1"/>
    <col min="8" max="8" width="1.85546875" style="1" customWidth="1"/>
    <col min="9" max="9" width="12.28515625" style="1" customWidth="1"/>
    <col min="10" max="10" width="1.7109375" style="1" customWidth="1"/>
    <col min="11" max="11" width="3.28515625" style="1" customWidth="1"/>
    <col min="12" max="12" width="1.7109375" style="1" customWidth="1"/>
    <col min="13" max="13" width="3.28515625" style="1" customWidth="1"/>
    <col min="14" max="14" width="1.7109375" style="1" customWidth="1"/>
    <col min="15" max="15" width="12.5703125" style="1" customWidth="1"/>
    <col min="16" max="16" width="1.85546875" style="1" customWidth="1"/>
    <col min="17" max="16384" width="11.42578125" style="1"/>
  </cols>
  <sheetData>
    <row r="1" spans="1:23" ht="26.25" customHeight="1" thickBot="1">
      <c r="A1" s="19">
        <v>2022</v>
      </c>
      <c r="B1" s="116" t="s">
        <v>23</v>
      </c>
      <c r="C1" s="11"/>
      <c r="D1" s="11"/>
      <c r="E1" s="11"/>
      <c r="F1" s="134"/>
      <c r="I1" s="121"/>
      <c r="J1" s="121"/>
      <c r="K1" s="121"/>
      <c r="L1" s="121"/>
      <c r="M1" s="121"/>
      <c r="N1" s="121"/>
      <c r="O1" s="121"/>
    </row>
    <row r="2" spans="1:23" ht="15.75" thickBot="1">
      <c r="I2" s="121"/>
      <c r="J2" s="121"/>
      <c r="K2" s="121"/>
      <c r="L2" s="121"/>
      <c r="M2" s="121"/>
      <c r="N2" s="121"/>
      <c r="O2" s="121"/>
      <c r="Q2" s="16" t="s">
        <v>1</v>
      </c>
      <c r="R2" s="2" t="s">
        <v>2</v>
      </c>
      <c r="S2" s="2" t="s">
        <v>3</v>
      </c>
      <c r="T2" s="2" t="s">
        <v>4</v>
      </c>
      <c r="U2" s="2" t="s">
        <v>5</v>
      </c>
      <c r="V2" s="3" t="s">
        <v>6</v>
      </c>
      <c r="W2" s="3" t="s">
        <v>0</v>
      </c>
    </row>
    <row r="3" spans="1:23" s="4" customFormat="1" ht="11.25" customHeight="1">
      <c r="J3" s="121"/>
      <c r="K3" s="121"/>
      <c r="L3" s="121"/>
      <c r="M3" s="121"/>
      <c r="N3" s="121"/>
      <c r="O3" s="121"/>
      <c r="Q3" s="114">
        <f>PARAMETROS!D13-PARAMETROS!D14</f>
        <v>44711</v>
      </c>
      <c r="R3" s="114">
        <f>Q3+1</f>
        <v>44712</v>
      </c>
      <c r="S3" s="114">
        <f t="shared" ref="S3:W3" si="0">R3+1</f>
        <v>44713</v>
      </c>
      <c r="T3" s="114">
        <f t="shared" si="0"/>
        <v>44714</v>
      </c>
      <c r="U3" s="114">
        <f t="shared" si="0"/>
        <v>44715</v>
      </c>
      <c r="V3" s="115">
        <f t="shared" si="0"/>
        <v>44716</v>
      </c>
      <c r="W3" s="115">
        <f t="shared" si="0"/>
        <v>44717</v>
      </c>
    </row>
    <row r="4" spans="1:23" s="4" customFormat="1" ht="11.25" customHeight="1">
      <c r="J4" s="126"/>
      <c r="K4" s="125"/>
      <c r="L4" s="117"/>
      <c r="M4" s="118"/>
      <c r="N4" s="117"/>
      <c r="O4" s="118"/>
      <c r="Q4" s="12"/>
      <c r="R4" s="12"/>
      <c r="S4" s="12"/>
      <c r="T4" s="6"/>
      <c r="U4" s="6"/>
      <c r="V4" s="10"/>
      <c r="W4" s="13"/>
    </row>
    <row r="5" spans="1:23" s="4" customFormat="1" ht="10.5" customHeight="1">
      <c r="I5" s="119"/>
      <c r="J5" s="117"/>
      <c r="K5" s="119"/>
      <c r="L5" s="117"/>
      <c r="M5" s="119"/>
      <c r="N5" s="117"/>
      <c r="O5" s="119"/>
      <c r="Q5" s="130"/>
      <c r="R5" s="130"/>
      <c r="S5" s="130"/>
      <c r="T5" s="130"/>
      <c r="U5" s="130"/>
      <c r="V5" s="129" t="s">
        <v>13</v>
      </c>
      <c r="W5" s="129" t="s">
        <v>13</v>
      </c>
    </row>
    <row r="6" spans="1:23" s="7" customFormat="1" ht="10.5" customHeight="1">
      <c r="I6" s="119"/>
      <c r="J6" s="120"/>
      <c r="K6" s="119"/>
      <c r="L6" s="120"/>
      <c r="M6" s="119"/>
      <c r="N6" s="120"/>
      <c r="O6" s="119"/>
      <c r="Q6" s="130"/>
      <c r="R6" s="130"/>
      <c r="S6" s="130"/>
      <c r="T6" s="130"/>
      <c r="U6" s="130"/>
      <c r="V6" s="128" t="s">
        <v>18</v>
      </c>
      <c r="W6" s="129" t="s">
        <v>18</v>
      </c>
    </row>
    <row r="7" spans="1:23" s="7" customFormat="1" ht="10.5" customHeight="1">
      <c r="I7" s="133"/>
      <c r="J7" s="120"/>
      <c r="K7" s="119"/>
      <c r="L7" s="120"/>
      <c r="M7" s="119"/>
      <c r="N7" s="120"/>
      <c r="O7" s="119"/>
      <c r="Q7" s="130"/>
      <c r="R7" s="130"/>
      <c r="S7" s="130"/>
      <c r="T7" s="130"/>
      <c r="U7" s="130"/>
      <c r="V7" s="128" t="s">
        <v>7</v>
      </c>
      <c r="W7" s="129" t="s">
        <v>7</v>
      </c>
    </row>
    <row r="8" spans="1:23" s="7" customFormat="1" ht="10.5" customHeight="1">
      <c r="I8" s="119"/>
      <c r="J8" s="120"/>
      <c r="K8" s="119"/>
      <c r="L8" s="120"/>
      <c r="M8" s="119"/>
      <c r="N8" s="120"/>
      <c r="O8" s="119"/>
      <c r="Q8" s="130"/>
      <c r="R8" s="130"/>
      <c r="S8" s="130"/>
      <c r="T8" s="130"/>
      <c r="U8" s="130"/>
      <c r="V8" s="128" t="s">
        <v>251</v>
      </c>
      <c r="W8" s="129" t="s">
        <v>251</v>
      </c>
    </row>
    <row r="9" spans="1:23" ht="10.5" customHeight="1">
      <c r="I9" s="121"/>
      <c r="J9" s="121"/>
      <c r="K9" s="121"/>
      <c r="L9" s="121"/>
      <c r="M9" s="121"/>
      <c r="N9" s="121"/>
      <c r="O9" s="121"/>
      <c r="Q9" s="14"/>
      <c r="R9" s="14"/>
      <c r="S9" s="14"/>
      <c r="T9" s="14"/>
      <c r="U9" s="14"/>
      <c r="V9" s="9"/>
      <c r="W9" s="14"/>
    </row>
    <row r="10" spans="1:23" ht="10.5" customHeight="1" thickBot="1">
      <c r="I10" s="121"/>
      <c r="J10" s="121"/>
      <c r="K10" s="121"/>
      <c r="L10" s="121"/>
      <c r="M10" s="121"/>
      <c r="N10" s="121"/>
      <c r="O10" s="121"/>
      <c r="Q10" s="15"/>
      <c r="R10" s="15"/>
      <c r="S10" s="15"/>
      <c r="T10" s="8"/>
      <c r="U10" s="8"/>
      <c r="V10" s="17"/>
      <c r="W10" s="8"/>
    </row>
    <row r="11" spans="1:23" s="4" customFormat="1" ht="11.25" customHeight="1">
      <c r="I11" s="165"/>
      <c r="J11" s="165"/>
      <c r="K11" s="166"/>
      <c r="L11" s="166"/>
      <c r="M11" s="166"/>
      <c r="N11" s="165"/>
      <c r="O11" s="165"/>
      <c r="Q11" s="113">
        <f>W3+1</f>
        <v>44718</v>
      </c>
      <c r="R11" s="114">
        <f>Q11+1</f>
        <v>44719</v>
      </c>
      <c r="S11" s="114">
        <f t="shared" ref="S11:W11" si="1">R11+1</f>
        <v>44720</v>
      </c>
      <c r="T11" s="114">
        <f t="shared" si="1"/>
        <v>44721</v>
      </c>
      <c r="U11" s="114">
        <f t="shared" si="1"/>
        <v>44722</v>
      </c>
      <c r="V11" s="115">
        <f t="shared" si="1"/>
        <v>44723</v>
      </c>
      <c r="W11" s="115">
        <f t="shared" si="1"/>
        <v>44724</v>
      </c>
    </row>
    <row r="12" spans="1:23" s="4" customFormat="1" ht="14.25" customHeight="1">
      <c r="I12" s="118"/>
      <c r="J12" s="117"/>
      <c r="K12" s="118"/>
      <c r="L12" s="117"/>
      <c r="M12" s="118"/>
      <c r="N12" s="117"/>
      <c r="O12" s="118"/>
      <c r="Q12" s="12"/>
      <c r="R12" s="12"/>
      <c r="S12" s="12"/>
      <c r="T12" s="12"/>
      <c r="U12" s="12"/>
      <c r="V12" s="10"/>
      <c r="W12" s="10"/>
    </row>
    <row r="13" spans="1:23" s="4" customFormat="1" ht="12" customHeight="1">
      <c r="I13" s="119"/>
      <c r="J13" s="117"/>
      <c r="K13" s="119"/>
      <c r="L13" s="117"/>
      <c r="M13" s="119"/>
      <c r="N13" s="117"/>
      <c r="O13" s="119"/>
      <c r="Q13" s="130"/>
      <c r="R13" s="130"/>
      <c r="S13" s="130"/>
      <c r="T13" s="130"/>
      <c r="U13" s="130"/>
      <c r="V13" s="127" t="s">
        <v>18</v>
      </c>
      <c r="W13" s="127" t="s">
        <v>18</v>
      </c>
    </row>
    <row r="14" spans="1:23" s="7" customFormat="1" ht="12" customHeight="1">
      <c r="I14" s="119"/>
      <c r="J14" s="120"/>
      <c r="K14" s="119"/>
      <c r="L14" s="120"/>
      <c r="M14" s="119"/>
      <c r="N14" s="120"/>
      <c r="O14" s="119"/>
      <c r="Q14" s="130"/>
      <c r="R14" s="130"/>
      <c r="S14" s="130"/>
      <c r="T14" s="130"/>
      <c r="U14" s="130"/>
      <c r="V14" s="128" t="s">
        <v>8</v>
      </c>
      <c r="W14" s="128" t="s">
        <v>8</v>
      </c>
    </row>
    <row r="15" spans="1:23" s="7" customFormat="1" ht="12" customHeight="1">
      <c r="I15" s="119"/>
      <c r="J15" s="120"/>
      <c r="K15" s="119"/>
      <c r="L15" s="120"/>
      <c r="M15" s="119"/>
      <c r="N15" s="120"/>
      <c r="O15" s="119"/>
      <c r="Q15" s="130"/>
      <c r="R15" s="130"/>
      <c r="S15" s="130"/>
      <c r="T15" s="130"/>
      <c r="U15" s="130"/>
      <c r="V15" s="128" t="s">
        <v>9</v>
      </c>
      <c r="W15" s="128" t="s">
        <v>9</v>
      </c>
    </row>
    <row r="16" spans="1:23" s="7" customFormat="1" ht="12" customHeight="1">
      <c r="I16" s="119"/>
      <c r="J16" s="120"/>
      <c r="K16" s="119"/>
      <c r="L16" s="120"/>
      <c r="M16" s="119"/>
      <c r="N16" s="120"/>
      <c r="O16" s="119"/>
      <c r="Q16" s="130"/>
      <c r="R16" s="130"/>
      <c r="S16" s="130"/>
      <c r="T16" s="130"/>
      <c r="U16" s="130"/>
      <c r="V16" s="128" t="s">
        <v>10</v>
      </c>
      <c r="W16" s="128" t="s">
        <v>10</v>
      </c>
    </row>
    <row r="17" spans="9:23" s="7" customFormat="1" ht="12" customHeight="1">
      <c r="I17" s="120"/>
      <c r="J17" s="120"/>
      <c r="K17" s="120"/>
      <c r="L17" s="120"/>
      <c r="M17" s="120"/>
      <c r="N17" s="120"/>
      <c r="O17" s="120"/>
      <c r="Q17" s="130"/>
      <c r="R17" s="130"/>
      <c r="S17" s="130"/>
      <c r="T17" s="130"/>
      <c r="U17" s="130"/>
      <c r="V17" s="128" t="s">
        <v>11</v>
      </c>
      <c r="W17" s="128" t="s">
        <v>11</v>
      </c>
    </row>
    <row r="18" spans="9:23" s="7" customFormat="1" ht="12" customHeight="1">
      <c r="I18" s="120"/>
      <c r="J18" s="120"/>
      <c r="K18" s="120"/>
      <c r="L18" s="120"/>
      <c r="M18" s="120"/>
      <c r="N18" s="120"/>
      <c r="O18" s="120"/>
      <c r="Q18" s="130"/>
      <c r="R18" s="130"/>
      <c r="S18" s="130"/>
      <c r="T18" s="130"/>
      <c r="U18" s="130"/>
      <c r="V18" s="129" t="s">
        <v>14</v>
      </c>
      <c r="W18" s="129" t="s">
        <v>14</v>
      </c>
    </row>
    <row r="19" spans="9:23" s="7" customFormat="1" ht="12" customHeight="1">
      <c r="I19" s="120"/>
      <c r="J19" s="120"/>
      <c r="K19" s="120"/>
      <c r="L19" s="120"/>
      <c r="M19" s="120"/>
      <c r="N19" s="120"/>
      <c r="O19" s="120"/>
      <c r="Q19" s="130"/>
      <c r="R19" s="130"/>
      <c r="S19" s="130"/>
      <c r="T19" s="130"/>
      <c r="U19" s="130"/>
      <c r="V19" s="128" t="s">
        <v>12</v>
      </c>
      <c r="W19" s="128" t="s">
        <v>12</v>
      </c>
    </row>
    <row r="20" spans="9:23" ht="10.5" customHeight="1">
      <c r="I20" s="121"/>
      <c r="J20" s="121"/>
      <c r="K20" s="121"/>
      <c r="L20" s="121"/>
      <c r="M20" s="121"/>
      <c r="N20" s="121"/>
      <c r="O20" s="121"/>
      <c r="Q20" s="14"/>
      <c r="R20" s="14"/>
      <c r="S20" s="14"/>
      <c r="T20" s="14"/>
      <c r="U20" s="14"/>
      <c r="V20" s="9"/>
      <c r="W20" s="9"/>
    </row>
    <row r="21" spans="9:23" ht="10.5" customHeight="1" thickBot="1">
      <c r="I21" s="121"/>
      <c r="J21" s="121"/>
      <c r="K21" s="121"/>
      <c r="L21" s="121"/>
      <c r="M21" s="121"/>
      <c r="N21" s="121"/>
      <c r="O21" s="121"/>
      <c r="Q21" s="15"/>
      <c r="R21" s="15"/>
      <c r="S21" s="15"/>
      <c r="T21" s="15"/>
      <c r="U21" s="15"/>
      <c r="V21" s="17"/>
      <c r="W21" s="8"/>
    </row>
    <row r="22" spans="9:23" s="4" customFormat="1" ht="11.25" customHeight="1">
      <c r="I22" s="121"/>
      <c r="J22" s="121"/>
      <c r="K22" s="121"/>
      <c r="L22" s="121"/>
      <c r="M22" s="121"/>
      <c r="N22" s="121"/>
      <c r="O22" s="121"/>
      <c r="Q22" s="113">
        <f>+W11+1</f>
        <v>44725</v>
      </c>
      <c r="R22" s="114">
        <f>Q22+1</f>
        <v>44726</v>
      </c>
      <c r="S22" s="114">
        <f t="shared" ref="S22:W22" si="2">R22+1</f>
        <v>44727</v>
      </c>
      <c r="T22" s="114">
        <f t="shared" si="2"/>
        <v>44728</v>
      </c>
      <c r="U22" s="114">
        <f t="shared" si="2"/>
        <v>44729</v>
      </c>
      <c r="V22" s="115">
        <f t="shared" si="2"/>
        <v>44730</v>
      </c>
      <c r="W22" s="115">
        <f t="shared" si="2"/>
        <v>44731</v>
      </c>
    </row>
    <row r="23" spans="9:23" s="4" customFormat="1" ht="11.25" customHeight="1">
      <c r="I23" s="117"/>
      <c r="J23" s="117"/>
      <c r="K23" s="117"/>
      <c r="L23" s="117"/>
      <c r="M23" s="117"/>
      <c r="N23" s="117"/>
      <c r="O23" s="117"/>
      <c r="Q23" s="12"/>
      <c r="R23" s="12"/>
      <c r="S23" s="12"/>
      <c r="T23" s="12"/>
      <c r="U23" s="12"/>
      <c r="V23" s="10"/>
      <c r="W23" s="13"/>
    </row>
    <row r="24" spans="9:23" s="4" customFormat="1" ht="5.25" customHeight="1">
      <c r="I24" s="117"/>
      <c r="J24" s="117"/>
      <c r="K24" s="117"/>
      <c r="L24" s="117"/>
      <c r="M24" s="117"/>
      <c r="N24" s="117"/>
      <c r="O24" s="117"/>
      <c r="Q24" s="130"/>
      <c r="R24" s="130"/>
      <c r="S24" s="130"/>
      <c r="T24" s="130"/>
      <c r="U24" s="130"/>
      <c r="V24" s="127" t="s">
        <v>18</v>
      </c>
      <c r="W24" s="127" t="s">
        <v>18</v>
      </c>
    </row>
    <row r="25" spans="9:23" s="7" customFormat="1" ht="5.25" customHeight="1">
      <c r="I25" s="120"/>
      <c r="J25" s="120"/>
      <c r="K25" s="120"/>
      <c r="L25" s="120"/>
      <c r="M25" s="120"/>
      <c r="N25" s="120"/>
      <c r="O25" s="120"/>
      <c r="Q25" s="130"/>
      <c r="R25" s="130"/>
      <c r="S25" s="130"/>
      <c r="T25" s="130"/>
      <c r="U25" s="130"/>
      <c r="V25" s="128" t="s">
        <v>8</v>
      </c>
      <c r="W25" s="129" t="s">
        <v>8</v>
      </c>
    </row>
    <row r="26" spans="9:23" s="7" customFormat="1" ht="5.25" customHeight="1">
      <c r="I26" s="120"/>
      <c r="J26" s="120"/>
      <c r="K26" s="120"/>
      <c r="L26" s="120"/>
      <c r="M26" s="120"/>
      <c r="N26" s="120"/>
      <c r="O26" s="120"/>
      <c r="Q26" s="130"/>
      <c r="R26" s="130"/>
      <c r="S26" s="130"/>
      <c r="T26" s="130"/>
      <c r="U26" s="130"/>
      <c r="V26" s="128" t="s">
        <v>9</v>
      </c>
      <c r="W26" s="129" t="s">
        <v>9</v>
      </c>
    </row>
    <row r="27" spans="9:23" s="7" customFormat="1" ht="5.25" customHeight="1">
      <c r="I27" s="120"/>
      <c r="J27" s="120"/>
      <c r="K27" s="120"/>
      <c r="L27" s="120"/>
      <c r="M27" s="120"/>
      <c r="N27" s="120"/>
      <c r="O27" s="120"/>
      <c r="Q27" s="130"/>
      <c r="R27" s="130"/>
      <c r="S27" s="130"/>
      <c r="T27" s="130"/>
      <c r="U27" s="130"/>
      <c r="V27" s="128" t="s">
        <v>10</v>
      </c>
      <c r="W27" s="129" t="s">
        <v>10</v>
      </c>
    </row>
    <row r="28" spans="9:23" s="7" customFormat="1" ht="5.25" customHeight="1">
      <c r="I28" s="120"/>
      <c r="J28" s="120"/>
      <c r="K28" s="120"/>
      <c r="L28" s="120"/>
      <c r="M28" s="120"/>
      <c r="N28" s="120"/>
      <c r="O28" s="120"/>
      <c r="Q28" s="130"/>
      <c r="R28" s="130"/>
      <c r="S28" s="130"/>
      <c r="T28" s="130"/>
      <c r="U28" s="130"/>
      <c r="V28" s="128" t="s">
        <v>11</v>
      </c>
      <c r="W28" s="129" t="s">
        <v>11</v>
      </c>
    </row>
    <row r="29" spans="9:23" s="7" customFormat="1" ht="5.25" customHeight="1">
      <c r="I29" s="120"/>
      <c r="J29" s="120"/>
      <c r="K29" s="120"/>
      <c r="L29" s="120"/>
      <c r="M29" s="120"/>
      <c r="N29" s="120"/>
      <c r="O29" s="120"/>
      <c r="Q29" s="130"/>
      <c r="R29" s="130"/>
      <c r="S29" s="130"/>
      <c r="T29" s="130"/>
      <c r="U29" s="130"/>
      <c r="V29" s="129" t="s">
        <v>14</v>
      </c>
      <c r="W29" s="129" t="s">
        <v>14</v>
      </c>
    </row>
    <row r="30" spans="9:23" s="7" customFormat="1" ht="5.25" customHeight="1">
      <c r="I30" s="123"/>
      <c r="J30" s="123"/>
      <c r="K30" s="123"/>
      <c r="L30" s="123"/>
      <c r="M30" s="123"/>
      <c r="N30" s="123"/>
      <c r="O30" s="123"/>
      <c r="Q30" s="130"/>
      <c r="R30" s="130"/>
      <c r="S30" s="130"/>
      <c r="T30" s="130"/>
      <c r="U30" s="130"/>
      <c r="V30" s="128" t="s">
        <v>12</v>
      </c>
      <c r="W30" s="129" t="s">
        <v>12</v>
      </c>
    </row>
    <row r="31" spans="9:23" ht="9.75" customHeight="1">
      <c r="I31" s="123"/>
      <c r="J31" s="123"/>
      <c r="K31" s="123"/>
      <c r="L31" s="123"/>
      <c r="M31" s="123"/>
      <c r="N31" s="123"/>
      <c r="O31" s="123"/>
      <c r="Q31" s="14"/>
      <c r="R31" s="14"/>
      <c r="S31" s="14"/>
      <c r="T31" s="14"/>
      <c r="U31" s="14"/>
      <c r="V31" s="9"/>
      <c r="W31" s="9"/>
    </row>
    <row r="32" spans="9:23" ht="10.5" customHeight="1" thickBot="1">
      <c r="I32" s="121"/>
      <c r="J32" s="121"/>
      <c r="K32" s="121"/>
      <c r="L32" s="121"/>
      <c r="M32" s="121"/>
      <c r="N32" s="121"/>
      <c r="O32" s="121"/>
      <c r="Q32" s="15"/>
      <c r="R32" s="15"/>
      <c r="S32" s="15"/>
      <c r="T32" s="15"/>
      <c r="U32" s="15"/>
      <c r="V32" s="17"/>
      <c r="W32" s="8"/>
    </row>
    <row r="33" spans="9:23" s="4" customFormat="1" ht="11.25" customHeight="1">
      <c r="I33" s="121"/>
      <c r="J33" s="121"/>
      <c r="K33" s="121"/>
      <c r="L33" s="121"/>
      <c r="M33" s="121"/>
      <c r="N33" s="121"/>
      <c r="O33" s="121"/>
      <c r="Q33" s="113">
        <f>+W22+1</f>
        <v>44732</v>
      </c>
      <c r="R33" s="114">
        <f>Q33+1</f>
        <v>44733</v>
      </c>
      <c r="S33" s="114">
        <f t="shared" ref="S33:W33" si="3">R33+1</f>
        <v>44734</v>
      </c>
      <c r="T33" s="114">
        <f t="shared" si="3"/>
        <v>44735</v>
      </c>
      <c r="U33" s="114">
        <f t="shared" si="3"/>
        <v>44736</v>
      </c>
      <c r="V33" s="115">
        <f t="shared" si="3"/>
        <v>44737</v>
      </c>
      <c r="W33" s="115">
        <f t="shared" si="3"/>
        <v>44738</v>
      </c>
    </row>
    <row r="34" spans="9:23" s="4" customFormat="1" ht="11.25" customHeight="1">
      <c r="I34" s="118"/>
      <c r="J34" s="117"/>
      <c r="K34" s="118"/>
      <c r="L34" s="117"/>
      <c r="M34" s="118"/>
      <c r="N34" s="117"/>
      <c r="O34" s="118"/>
      <c r="Q34" s="12"/>
      <c r="R34" s="18" t="s">
        <v>16</v>
      </c>
      <c r="S34" s="12"/>
      <c r="T34" s="12"/>
      <c r="U34" s="12"/>
      <c r="V34" s="10"/>
      <c r="W34" s="10"/>
    </row>
    <row r="35" spans="9:23" s="4" customFormat="1" ht="5.25" customHeight="1">
      <c r="I35" s="118"/>
      <c r="J35" s="117"/>
      <c r="K35" s="118"/>
      <c r="L35" s="117"/>
      <c r="M35" s="118"/>
      <c r="N35" s="117"/>
      <c r="O35" s="118"/>
      <c r="Q35" s="130"/>
      <c r="R35" s="131"/>
      <c r="S35" s="130"/>
      <c r="T35" s="130"/>
      <c r="U35" s="130"/>
      <c r="V35" s="127" t="s">
        <v>18</v>
      </c>
      <c r="W35" s="127" t="s">
        <v>18</v>
      </c>
    </row>
    <row r="36" spans="9:23" s="7" customFormat="1" ht="5.25" customHeight="1">
      <c r="I36" s="118"/>
      <c r="J36" s="120"/>
      <c r="K36" s="118"/>
      <c r="L36" s="120"/>
      <c r="M36" s="118"/>
      <c r="N36" s="120"/>
      <c r="O36" s="118"/>
      <c r="Q36" s="130"/>
      <c r="R36" s="131"/>
      <c r="S36" s="132"/>
      <c r="T36" s="130"/>
      <c r="U36" s="130"/>
      <c r="V36" s="128" t="s">
        <v>8</v>
      </c>
      <c r="W36" s="128" t="s">
        <v>8</v>
      </c>
    </row>
    <row r="37" spans="9:23" s="7" customFormat="1" ht="5.25" customHeight="1">
      <c r="I37" s="118"/>
      <c r="J37" s="120"/>
      <c r="K37" s="118"/>
      <c r="L37" s="120"/>
      <c r="M37" s="118"/>
      <c r="N37" s="120"/>
      <c r="O37" s="118"/>
      <c r="Q37" s="130"/>
      <c r="R37" s="131"/>
      <c r="S37" s="130"/>
      <c r="T37" s="130"/>
      <c r="U37" s="130"/>
      <c r="V37" s="128" t="s">
        <v>9</v>
      </c>
      <c r="W37" s="128" t="s">
        <v>9</v>
      </c>
    </row>
    <row r="38" spans="9:23" s="7" customFormat="1" ht="5.25" customHeight="1">
      <c r="I38" s="118"/>
      <c r="J38" s="120"/>
      <c r="K38" s="118"/>
      <c r="L38" s="120"/>
      <c r="M38" s="118"/>
      <c r="N38" s="120"/>
      <c r="O38" s="118"/>
      <c r="Q38" s="130"/>
      <c r="R38" s="131"/>
      <c r="S38" s="130"/>
      <c r="T38" s="130"/>
      <c r="U38" s="130"/>
      <c r="V38" s="128" t="s">
        <v>10</v>
      </c>
      <c r="W38" s="128" t="s">
        <v>10</v>
      </c>
    </row>
    <row r="39" spans="9:23" s="7" customFormat="1" ht="5.25" customHeight="1">
      <c r="I39" s="120"/>
      <c r="J39" s="120"/>
      <c r="K39" s="120"/>
      <c r="L39" s="120"/>
      <c r="M39" s="120"/>
      <c r="N39" s="120"/>
      <c r="O39" s="120"/>
      <c r="Q39" s="130"/>
      <c r="R39" s="131"/>
      <c r="S39" s="130"/>
      <c r="T39" s="130"/>
      <c r="U39" s="130"/>
      <c r="V39" s="128" t="s">
        <v>11</v>
      </c>
      <c r="W39" s="128" t="s">
        <v>11</v>
      </c>
    </row>
    <row r="40" spans="9:23" s="7" customFormat="1" ht="5.25" customHeight="1">
      <c r="I40" s="120"/>
      <c r="J40" s="120"/>
      <c r="K40" s="120"/>
      <c r="L40" s="120"/>
      <c r="M40" s="120"/>
      <c r="N40" s="120"/>
      <c r="O40" s="120"/>
      <c r="Q40" s="130"/>
      <c r="R40" s="131"/>
      <c r="S40" s="130"/>
      <c r="T40" s="130"/>
      <c r="U40" s="130"/>
      <c r="V40" s="129" t="s">
        <v>14</v>
      </c>
      <c r="W40" s="129" t="s">
        <v>14</v>
      </c>
    </row>
    <row r="41" spans="9:23" s="7" customFormat="1" ht="5.25" customHeight="1">
      <c r="I41" s="120"/>
      <c r="J41" s="120"/>
      <c r="K41" s="120"/>
      <c r="L41" s="120"/>
      <c r="M41" s="120"/>
      <c r="N41" s="120"/>
      <c r="O41" s="120"/>
      <c r="Q41" s="130"/>
      <c r="R41" s="131"/>
      <c r="S41" s="130"/>
      <c r="T41" s="130"/>
      <c r="U41" s="130"/>
      <c r="V41" s="128" t="s">
        <v>12</v>
      </c>
      <c r="W41" s="128" t="s">
        <v>12</v>
      </c>
    </row>
    <row r="42" spans="9:23" ht="10.5" customHeight="1">
      <c r="I42" s="121"/>
      <c r="J42" s="121"/>
      <c r="K42" s="121"/>
      <c r="L42" s="121"/>
      <c r="M42" s="121"/>
      <c r="N42" s="121"/>
      <c r="O42" s="121"/>
      <c r="Q42" s="14"/>
      <c r="R42" s="14"/>
      <c r="S42" s="14"/>
      <c r="T42" s="14"/>
      <c r="U42" s="14"/>
      <c r="V42" s="9"/>
      <c r="W42" s="9"/>
    </row>
    <row r="43" spans="9:23" ht="10.5" customHeight="1" thickBot="1">
      <c r="I43" s="121"/>
      <c r="J43" s="121"/>
      <c r="K43" s="121"/>
      <c r="L43" s="121"/>
      <c r="M43" s="121"/>
      <c r="N43" s="121"/>
      <c r="O43" s="121"/>
      <c r="Q43" s="15"/>
      <c r="R43" s="15"/>
      <c r="S43" s="15"/>
      <c r="T43" s="15"/>
      <c r="U43" s="15"/>
      <c r="V43" s="17"/>
      <c r="W43" s="17"/>
    </row>
    <row r="44" spans="9:23" s="4" customFormat="1" ht="11.25" customHeight="1">
      <c r="I44" s="122"/>
      <c r="J44" s="117"/>
      <c r="K44" s="122"/>
      <c r="L44" s="117"/>
      <c r="M44" s="122"/>
      <c r="N44" s="117"/>
      <c r="O44" s="122"/>
      <c r="Q44" s="113">
        <f>+W33+1</f>
        <v>44739</v>
      </c>
      <c r="R44" s="114">
        <f>Q44+1</f>
        <v>44740</v>
      </c>
      <c r="S44" s="114">
        <f t="shared" ref="S44:W44" si="4">R44+1</f>
        <v>44741</v>
      </c>
      <c r="T44" s="114">
        <f t="shared" si="4"/>
        <v>44742</v>
      </c>
      <c r="U44" s="114">
        <f t="shared" si="4"/>
        <v>44743</v>
      </c>
      <c r="V44" s="115">
        <f t="shared" si="4"/>
        <v>44744</v>
      </c>
      <c r="W44" s="115">
        <f t="shared" si="4"/>
        <v>44745</v>
      </c>
    </row>
    <row r="45" spans="9:23" s="4" customFormat="1" ht="11.25" customHeight="1">
      <c r="I45" s="118"/>
      <c r="J45" s="117"/>
      <c r="K45" s="118"/>
      <c r="L45" s="117"/>
      <c r="M45" s="118"/>
      <c r="N45" s="117"/>
      <c r="O45" s="124"/>
      <c r="Q45" s="12"/>
      <c r="R45" s="12"/>
      <c r="S45" s="12"/>
      <c r="T45" s="12"/>
      <c r="U45" s="12"/>
      <c r="V45" s="10"/>
      <c r="W45" s="10"/>
    </row>
    <row r="46" spans="9:23" s="4" customFormat="1" ht="5.25" customHeight="1">
      <c r="I46" s="118"/>
      <c r="J46" s="117"/>
      <c r="K46" s="118"/>
      <c r="L46" s="117"/>
      <c r="M46" s="118"/>
      <c r="N46" s="117"/>
      <c r="O46" s="124"/>
      <c r="Q46" s="130"/>
      <c r="R46" s="130"/>
      <c r="S46" s="130"/>
      <c r="T46" s="130"/>
      <c r="U46" s="130"/>
      <c r="V46" s="127" t="s">
        <v>18</v>
      </c>
      <c r="W46" s="127" t="s">
        <v>18</v>
      </c>
    </row>
    <row r="47" spans="9:23" s="7" customFormat="1" ht="5.25" customHeight="1">
      <c r="I47" s="118"/>
      <c r="J47" s="120"/>
      <c r="K47" s="118"/>
      <c r="L47" s="120"/>
      <c r="M47" s="118"/>
      <c r="N47" s="120"/>
      <c r="O47" s="124"/>
      <c r="Q47" s="130"/>
      <c r="R47" s="130"/>
      <c r="S47" s="130"/>
      <c r="T47" s="130"/>
      <c r="U47" s="130"/>
      <c r="V47" s="128" t="s">
        <v>8</v>
      </c>
      <c r="W47" s="128" t="s">
        <v>8</v>
      </c>
    </row>
    <row r="48" spans="9:23" s="7" customFormat="1" ht="5.25" customHeight="1">
      <c r="I48" s="118"/>
      <c r="J48" s="120"/>
      <c r="K48" s="118"/>
      <c r="L48" s="120"/>
      <c r="M48" s="118"/>
      <c r="N48" s="120"/>
      <c r="O48" s="124"/>
      <c r="Q48" s="130"/>
      <c r="R48" s="130"/>
      <c r="S48" s="130"/>
      <c r="T48" s="130"/>
      <c r="U48" s="130"/>
      <c r="V48" s="128" t="s">
        <v>9</v>
      </c>
      <c r="W48" s="128" t="s">
        <v>9</v>
      </c>
    </row>
    <row r="49" spans="1:23" s="7" customFormat="1" ht="5.25" customHeight="1">
      <c r="I49" s="118"/>
      <c r="J49" s="120"/>
      <c r="K49" s="118"/>
      <c r="L49" s="120"/>
      <c r="M49" s="118"/>
      <c r="N49" s="120"/>
      <c r="O49" s="124"/>
      <c r="Q49" s="130"/>
      <c r="R49" s="130"/>
      <c r="S49" s="130"/>
      <c r="T49" s="130"/>
      <c r="U49" s="130"/>
      <c r="V49" s="128" t="s">
        <v>10</v>
      </c>
      <c r="W49" s="128" t="s">
        <v>10</v>
      </c>
    </row>
    <row r="50" spans="1:23" s="7" customFormat="1" ht="5.25" customHeight="1">
      <c r="I50" s="120"/>
      <c r="J50" s="120"/>
      <c r="K50" s="120"/>
      <c r="L50" s="120"/>
      <c r="M50" s="120"/>
      <c r="N50" s="120"/>
      <c r="O50" s="120"/>
      <c r="Q50" s="130"/>
      <c r="R50" s="130"/>
      <c r="S50" s="130"/>
      <c r="T50" s="130"/>
      <c r="U50" s="130"/>
      <c r="V50" s="128" t="s">
        <v>11</v>
      </c>
      <c r="W50" s="128" t="s">
        <v>11</v>
      </c>
    </row>
    <row r="51" spans="1:23" s="7" customFormat="1" ht="5.25" customHeight="1">
      <c r="I51" s="120"/>
      <c r="J51" s="120"/>
      <c r="K51" s="120"/>
      <c r="L51" s="120"/>
      <c r="M51" s="120"/>
      <c r="N51" s="120"/>
      <c r="O51" s="120"/>
      <c r="Q51" s="130"/>
      <c r="R51" s="130"/>
      <c r="S51" s="130"/>
      <c r="T51" s="130"/>
      <c r="U51" s="130"/>
      <c r="V51" s="129" t="s">
        <v>14</v>
      </c>
      <c r="W51" s="129" t="s">
        <v>14</v>
      </c>
    </row>
    <row r="52" spans="1:23" s="7" customFormat="1" ht="5.25" customHeight="1">
      <c r="Q52" s="130"/>
      <c r="R52" s="130"/>
      <c r="S52" s="130"/>
      <c r="T52" s="130"/>
      <c r="U52" s="130"/>
      <c r="V52" s="128" t="s">
        <v>12</v>
      </c>
      <c r="W52" s="128" t="s">
        <v>12</v>
      </c>
    </row>
    <row r="53" spans="1:23" ht="10.5" customHeight="1">
      <c r="Q53" s="14"/>
      <c r="R53" s="14"/>
      <c r="S53" s="14"/>
      <c r="T53" s="14"/>
      <c r="U53" s="14"/>
      <c r="V53" s="9"/>
      <c r="W53" s="9"/>
    </row>
    <row r="54" spans="1:23" ht="10.5" customHeight="1" thickBot="1">
      <c r="Q54" s="15"/>
      <c r="R54" s="15"/>
      <c r="S54" s="15"/>
      <c r="T54" s="15"/>
      <c r="U54" s="15"/>
      <c r="V54" s="17"/>
      <c r="W54" s="17"/>
    </row>
    <row r="55" spans="1:23" s="4" customFormat="1" ht="11.25" customHeight="1">
      <c r="A55" s="5"/>
      <c r="B55" s="5"/>
      <c r="C55" s="5"/>
      <c r="D55" s="5"/>
      <c r="E55" s="5"/>
      <c r="F55" s="5"/>
      <c r="G55" s="5"/>
    </row>
  </sheetData>
  <phoneticPr fontId="5" type="noConversion"/>
  <pageMargins left="0.7" right="0.7" top="0.75" bottom="0.75" header="0.3" footer="0.3"/>
  <pageSetup paperSize="10000" scale="96" orientation="landscape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autoPict="0" r:id="rId5">
            <anchor moveWithCells="1">
              <from>
                <xdr:col>12</xdr:col>
                <xdr:colOff>114300</xdr:colOff>
                <xdr:row>1</xdr:row>
                <xdr:rowOff>66675</xdr:rowOff>
              </from>
              <to>
                <xdr:col>14</xdr:col>
                <xdr:colOff>685800</xdr:colOff>
                <xdr:row>2</xdr:row>
                <xdr:rowOff>133350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ComboCalendario">
          <controlPr defaultSize="0" autoLine="0" r:id="rId7">
            <anchor moveWithCells="1">
              <from>
                <xdr:col>16</xdr:col>
                <xdr:colOff>38100</xdr:colOff>
                <xdr:row>0</xdr:row>
                <xdr:rowOff>47625</xdr:rowOff>
              </from>
              <to>
                <xdr:col>19</xdr:col>
                <xdr:colOff>9525</xdr:colOff>
                <xdr:row>0</xdr:row>
                <xdr:rowOff>276225</xdr:rowOff>
              </to>
            </anchor>
          </controlPr>
        </control>
      </mc:Choice>
      <mc:Fallback>
        <control shapeId="13317" r:id="rId6" name="ComboCalendario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2927E33-0D63-4B13-95C6-6774686A50C1}">
            <xm:f>Q3&gt;EOMONTH(PARAMETROS!$D$13,0)</xm:f>
            <x14:dxf>
              <font>
                <b val="0"/>
                <i val="0"/>
              </font>
              <fill>
                <patternFill>
                  <bgColor theme="2" tint="-9.9948118533890809E-2"/>
                </patternFill>
              </fill>
            </x14:dxf>
          </x14:cfRule>
          <x14:cfRule type="expression" priority="2" id="{6FF37207-7269-49FF-A135-2A71E73DE803}">
            <xm:f>Q3&lt;PARAMETROS!$D$13</xm:f>
            <x14:dxf>
              <font>
                <b val="0"/>
                <i val="0"/>
              </font>
              <fill>
                <patternFill patternType="solid">
                  <bgColor theme="2" tint="-9.9948118533890809E-2"/>
                </patternFill>
              </fill>
            </x14:dxf>
          </x14:cfRule>
          <xm:sqref>Q3:W3 Q11:W11 Q22:W22 Q33:W33 Q44:W44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8F59B5-C66C-40FD-A4DA-DDD93E000258}">
          <x14:formula1>
            <xm:f>PARAMETROS!$D$2:$D$12</xm:f>
          </x14:formula1>
          <xm:sqref>B1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38140-3F54-4AEA-88C7-EC952B58264D}">
  <sheetPr codeName="Hoja2">
    <pageSetUpPr fitToPage="1"/>
  </sheetPr>
  <dimension ref="A1:X41"/>
  <sheetViews>
    <sheetView view="pageBreakPreview" zoomScale="110" zoomScaleNormal="100" zoomScaleSheetLayoutView="110" workbookViewId="0">
      <pane ySplit="1" topLeftCell="A2" activePane="bottomLeft" state="frozen"/>
      <selection activeCell="AH22" sqref="AH22"/>
      <selection pane="bottomLeft" activeCell="A14" sqref="A14"/>
    </sheetView>
  </sheetViews>
  <sheetFormatPr baseColWidth="10" defaultRowHeight="18"/>
  <cols>
    <col min="1" max="1" width="58.5703125" style="99" bestFit="1" customWidth="1"/>
    <col min="2" max="2" width="5.85546875" style="99" customWidth="1"/>
    <col min="3" max="3" width="5" style="99" customWidth="1"/>
    <col min="4" max="4" width="3.7109375" style="99" customWidth="1"/>
    <col min="5" max="5" width="6" style="99" customWidth="1"/>
    <col min="6" max="6" width="5.5703125" style="99" customWidth="1"/>
    <col min="7" max="8" width="3.7109375" style="99" customWidth="1"/>
    <col min="9" max="9" width="5.140625" style="99" customWidth="1"/>
    <col min="10" max="10" width="4.42578125" style="99" customWidth="1"/>
    <col min="11" max="11" width="5.28515625" style="102" customWidth="1"/>
    <col min="12" max="12" width="3.7109375" style="99" customWidth="1"/>
    <col min="13" max="13" width="5.140625" style="99" customWidth="1"/>
    <col min="14" max="15" width="3.7109375" style="99" customWidth="1"/>
    <col min="16" max="16" width="3.7109375" style="102" customWidth="1"/>
    <col min="17" max="18" width="5.140625" style="99" customWidth="1"/>
    <col min="19" max="22" width="3.7109375" style="99" customWidth="1"/>
    <col min="23" max="23" width="8.85546875" style="99" bestFit="1" customWidth="1"/>
    <col min="24" max="24" width="11.42578125" style="99" customWidth="1"/>
    <col min="25" max="16384" width="11.42578125" style="99"/>
  </cols>
  <sheetData>
    <row r="1" spans="1:24">
      <c r="A1" s="98" t="s">
        <v>235</v>
      </c>
      <c r="B1" s="98">
        <v>1</v>
      </c>
      <c r="C1" s="98">
        <v>2</v>
      </c>
      <c r="D1" s="98">
        <v>3</v>
      </c>
      <c r="E1" s="98">
        <v>4</v>
      </c>
      <c r="F1" s="98">
        <v>5</v>
      </c>
      <c r="G1" s="98">
        <v>6</v>
      </c>
      <c r="H1" s="98">
        <v>7</v>
      </c>
      <c r="I1" s="98">
        <v>8</v>
      </c>
      <c r="J1" s="98">
        <v>9</v>
      </c>
      <c r="K1" s="98">
        <v>10</v>
      </c>
      <c r="L1" s="98">
        <v>11</v>
      </c>
      <c r="M1" s="98">
        <v>12</v>
      </c>
      <c r="N1" s="98">
        <v>13</v>
      </c>
      <c r="O1" s="98">
        <v>14</v>
      </c>
      <c r="P1" s="98">
        <v>15</v>
      </c>
      <c r="Q1" s="98">
        <v>16</v>
      </c>
      <c r="R1" s="98">
        <v>17</v>
      </c>
      <c r="S1" s="98">
        <v>18</v>
      </c>
      <c r="T1" s="98">
        <v>19</v>
      </c>
      <c r="U1" s="98">
        <v>20</v>
      </c>
      <c r="V1" s="98">
        <v>1</v>
      </c>
      <c r="W1" s="98" t="s">
        <v>236</v>
      </c>
      <c r="X1" s="98" t="s">
        <v>237</v>
      </c>
    </row>
    <row r="2" spans="1:24">
      <c r="A2" s="100" t="s">
        <v>88</v>
      </c>
      <c r="B2" s="101">
        <v>4</v>
      </c>
      <c r="C2" s="101">
        <v>6</v>
      </c>
      <c r="D2" s="101">
        <v>6</v>
      </c>
      <c r="E2" s="101">
        <v>6</v>
      </c>
      <c r="F2" s="101">
        <v>3</v>
      </c>
      <c r="G2" s="101">
        <v>6</v>
      </c>
      <c r="H2" s="101">
        <v>6</v>
      </c>
      <c r="I2" s="101">
        <v>14</v>
      </c>
      <c r="J2" s="101">
        <v>6</v>
      </c>
      <c r="K2" s="101">
        <v>15</v>
      </c>
      <c r="L2" s="101">
        <v>14</v>
      </c>
      <c r="M2" s="101">
        <v>4</v>
      </c>
      <c r="N2" s="101">
        <v>18</v>
      </c>
      <c r="O2" s="101">
        <v>6</v>
      </c>
      <c r="P2" s="101">
        <v>14</v>
      </c>
      <c r="Q2" s="101">
        <v>4</v>
      </c>
      <c r="R2" s="101">
        <v>6</v>
      </c>
      <c r="S2" s="101">
        <v>14</v>
      </c>
      <c r="T2" s="101">
        <v>6</v>
      </c>
      <c r="U2" s="101">
        <v>3</v>
      </c>
      <c r="V2" s="101">
        <v>4</v>
      </c>
      <c r="W2" s="101">
        <f>SUM(B2:V2)</f>
        <v>165</v>
      </c>
      <c r="X2" s="101">
        <v>900</v>
      </c>
    </row>
    <row r="3" spans="1:24">
      <c r="A3" s="100" t="s">
        <v>128</v>
      </c>
      <c r="B3" s="101"/>
      <c r="C3" s="101"/>
      <c r="D3" s="101">
        <v>1</v>
      </c>
      <c r="E3" s="101"/>
      <c r="F3" s="101">
        <v>1</v>
      </c>
      <c r="G3" s="101"/>
      <c r="H3" s="101"/>
      <c r="I3" s="101"/>
      <c r="J3" s="101"/>
      <c r="K3" s="101"/>
      <c r="L3" s="101"/>
      <c r="M3" s="101"/>
      <c r="N3" s="101"/>
      <c r="O3" s="101">
        <v>1</v>
      </c>
      <c r="P3" s="101"/>
      <c r="Q3" s="101"/>
      <c r="R3" s="101"/>
      <c r="S3" s="101"/>
      <c r="T3" s="101"/>
      <c r="U3" s="101">
        <v>1</v>
      </c>
      <c r="V3" s="101"/>
      <c r="W3" s="101">
        <f t="shared" ref="W3:W40" si="0">SUM(B3:V3)</f>
        <v>4</v>
      </c>
      <c r="X3" s="101">
        <v>92</v>
      </c>
    </row>
    <row r="4" spans="1:24">
      <c r="A4" s="100" t="s">
        <v>84</v>
      </c>
      <c r="B4" s="101"/>
      <c r="C4" s="101">
        <v>1</v>
      </c>
      <c r="D4" s="101">
        <v>1</v>
      </c>
      <c r="E4" s="101">
        <v>1</v>
      </c>
      <c r="F4" s="101">
        <v>1</v>
      </c>
      <c r="G4" s="101"/>
      <c r="H4" s="101">
        <v>1</v>
      </c>
      <c r="I4" s="101">
        <v>1</v>
      </c>
      <c r="J4" s="101"/>
      <c r="K4" s="101">
        <v>1</v>
      </c>
      <c r="L4" s="101">
        <v>1</v>
      </c>
      <c r="M4" s="101"/>
      <c r="N4" s="101">
        <v>1</v>
      </c>
      <c r="O4" s="101">
        <v>1</v>
      </c>
      <c r="P4" s="101">
        <v>1</v>
      </c>
      <c r="Q4" s="101"/>
      <c r="R4" s="101">
        <v>1</v>
      </c>
      <c r="S4" s="101">
        <v>1</v>
      </c>
      <c r="T4" s="101">
        <v>1</v>
      </c>
      <c r="U4" s="101">
        <v>1</v>
      </c>
      <c r="V4" s="101"/>
      <c r="W4" s="101">
        <f t="shared" si="0"/>
        <v>15</v>
      </c>
      <c r="X4" s="101">
        <v>1000</v>
      </c>
    </row>
    <row r="5" spans="1:24">
      <c r="A5" s="100" t="s">
        <v>145</v>
      </c>
      <c r="B5" s="101"/>
      <c r="C5" s="101"/>
      <c r="D5" s="101"/>
      <c r="E5" s="101">
        <v>40</v>
      </c>
      <c r="F5" s="101"/>
      <c r="G5" s="101"/>
      <c r="H5" s="101"/>
      <c r="I5" s="101">
        <v>40</v>
      </c>
      <c r="J5" s="101"/>
      <c r="K5" s="101">
        <v>40</v>
      </c>
      <c r="L5" s="101">
        <v>40</v>
      </c>
      <c r="M5" s="101"/>
      <c r="N5" s="101">
        <v>40</v>
      </c>
      <c r="O5" s="101"/>
      <c r="P5" s="101">
        <v>40</v>
      </c>
      <c r="Q5" s="101"/>
      <c r="R5" s="101"/>
      <c r="S5" s="101">
        <v>40</v>
      </c>
      <c r="T5" s="101"/>
      <c r="U5" s="101"/>
      <c r="V5" s="101"/>
      <c r="W5" s="101">
        <f t="shared" si="0"/>
        <v>280</v>
      </c>
      <c r="X5" s="101">
        <v>1000</v>
      </c>
    </row>
    <row r="6" spans="1:24">
      <c r="A6" s="100" t="s">
        <v>123</v>
      </c>
      <c r="B6" s="101"/>
      <c r="C6" s="101"/>
      <c r="D6" s="101"/>
      <c r="E6" s="101"/>
      <c r="F6" s="101">
        <v>13</v>
      </c>
      <c r="G6" s="101"/>
      <c r="H6" s="101"/>
      <c r="I6" s="101"/>
      <c r="J6" s="101"/>
      <c r="K6" s="101"/>
      <c r="L6" s="101"/>
      <c r="M6" s="101">
        <v>13</v>
      </c>
      <c r="N6" s="101"/>
      <c r="O6" s="101"/>
      <c r="P6" s="101"/>
      <c r="Q6" s="101"/>
      <c r="R6" s="101"/>
      <c r="S6" s="101"/>
      <c r="T6" s="101"/>
      <c r="U6" s="101"/>
      <c r="V6" s="101"/>
      <c r="W6" s="101">
        <f t="shared" si="0"/>
        <v>26</v>
      </c>
      <c r="X6" s="101">
        <v>200</v>
      </c>
    </row>
    <row r="7" spans="1:24">
      <c r="A7" s="100" t="s">
        <v>238</v>
      </c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>
        <v>60</v>
      </c>
      <c r="Q7" s="101"/>
      <c r="R7" s="101"/>
      <c r="S7" s="101"/>
      <c r="T7" s="101"/>
      <c r="U7" s="101"/>
      <c r="V7" s="101"/>
      <c r="W7" s="101">
        <f t="shared" si="0"/>
        <v>60</v>
      </c>
      <c r="X7" s="101">
        <v>170</v>
      </c>
    </row>
    <row r="8" spans="1:24">
      <c r="A8" s="100" t="s">
        <v>74</v>
      </c>
      <c r="B8" s="101"/>
      <c r="C8" s="101"/>
      <c r="D8" s="101">
        <v>12</v>
      </c>
      <c r="E8" s="101">
        <v>12</v>
      </c>
      <c r="F8" s="101">
        <v>12</v>
      </c>
      <c r="G8" s="101"/>
      <c r="H8" s="101">
        <v>12</v>
      </c>
      <c r="I8" s="101">
        <v>12</v>
      </c>
      <c r="J8" s="101">
        <v>12</v>
      </c>
      <c r="K8" s="101">
        <v>12</v>
      </c>
      <c r="L8" s="101">
        <v>12</v>
      </c>
      <c r="M8" s="101">
        <v>12</v>
      </c>
      <c r="N8" s="101">
        <v>12</v>
      </c>
      <c r="O8" s="101"/>
      <c r="P8" s="101">
        <v>12</v>
      </c>
      <c r="Q8" s="101">
        <v>12</v>
      </c>
      <c r="R8" s="101"/>
      <c r="S8" s="101">
        <v>12</v>
      </c>
      <c r="T8" s="101">
        <v>12</v>
      </c>
      <c r="U8" s="101">
        <v>12</v>
      </c>
      <c r="V8" s="101"/>
      <c r="W8" s="101">
        <f t="shared" si="0"/>
        <v>180</v>
      </c>
      <c r="X8" s="101">
        <v>1000</v>
      </c>
    </row>
    <row r="9" spans="1:24">
      <c r="A9" s="100" t="s">
        <v>96</v>
      </c>
      <c r="B9" s="101">
        <v>1</v>
      </c>
      <c r="C9" s="101"/>
      <c r="D9" s="101"/>
      <c r="E9" s="101"/>
      <c r="F9" s="101"/>
      <c r="G9" s="101">
        <v>1</v>
      </c>
      <c r="H9" s="101"/>
      <c r="I9" s="101"/>
      <c r="J9" s="101"/>
      <c r="K9" s="101"/>
      <c r="L9" s="101">
        <v>1</v>
      </c>
      <c r="M9" s="101"/>
      <c r="N9" s="101"/>
      <c r="O9" s="101"/>
      <c r="P9" s="101"/>
      <c r="Q9" s="101"/>
      <c r="R9" s="101">
        <v>1</v>
      </c>
      <c r="S9" s="101"/>
      <c r="T9" s="101"/>
      <c r="U9" s="101"/>
      <c r="V9" s="101">
        <v>1</v>
      </c>
      <c r="W9" s="101">
        <f t="shared" si="0"/>
        <v>5</v>
      </c>
      <c r="X9" s="101">
        <v>1</v>
      </c>
    </row>
    <row r="10" spans="1:24">
      <c r="A10" s="100" t="s">
        <v>192</v>
      </c>
      <c r="B10" s="101"/>
      <c r="C10" s="101"/>
      <c r="D10" s="101"/>
      <c r="E10" s="101"/>
      <c r="F10" s="101"/>
      <c r="G10" s="101"/>
      <c r="H10" s="101"/>
      <c r="I10" s="101"/>
      <c r="J10" s="101"/>
      <c r="K10" s="101">
        <v>100</v>
      </c>
      <c r="L10" s="101"/>
      <c r="M10" s="101"/>
      <c r="N10" s="101"/>
      <c r="O10" s="101"/>
      <c r="P10" s="101"/>
      <c r="Q10" s="101"/>
      <c r="R10" s="101">
        <v>100</v>
      </c>
      <c r="S10" s="101"/>
      <c r="T10" s="101"/>
      <c r="U10" s="101"/>
      <c r="V10" s="101"/>
      <c r="W10" s="101">
        <f t="shared" si="0"/>
        <v>200</v>
      </c>
      <c r="X10" s="101">
        <v>500</v>
      </c>
    </row>
    <row r="11" spans="1:24">
      <c r="A11" s="100" t="s">
        <v>80</v>
      </c>
      <c r="B11" s="101">
        <v>4</v>
      </c>
      <c r="C11" s="101">
        <v>4</v>
      </c>
      <c r="D11" s="101">
        <v>4</v>
      </c>
      <c r="E11" s="101">
        <v>4</v>
      </c>
      <c r="F11" s="101">
        <v>4</v>
      </c>
      <c r="G11" s="101">
        <v>4</v>
      </c>
      <c r="H11" s="101">
        <v>4</v>
      </c>
      <c r="I11" s="101">
        <v>4</v>
      </c>
      <c r="J11" s="101">
        <v>4</v>
      </c>
      <c r="K11" s="101">
        <v>4</v>
      </c>
      <c r="L11" s="101">
        <v>4</v>
      </c>
      <c r="M11" s="101">
        <v>4</v>
      </c>
      <c r="N11" s="101">
        <v>4</v>
      </c>
      <c r="O11" s="101">
        <v>4</v>
      </c>
      <c r="P11" s="101">
        <v>4</v>
      </c>
      <c r="Q11" s="101">
        <v>4</v>
      </c>
      <c r="R11" s="101">
        <v>4</v>
      </c>
      <c r="S11" s="101">
        <v>4</v>
      </c>
      <c r="T11" s="101">
        <v>4</v>
      </c>
      <c r="U11" s="101">
        <v>4</v>
      </c>
      <c r="V11" s="101">
        <v>4</v>
      </c>
      <c r="W11" s="101">
        <f t="shared" si="0"/>
        <v>84</v>
      </c>
      <c r="X11" s="101">
        <v>1000</v>
      </c>
    </row>
    <row r="12" spans="1:24">
      <c r="A12" s="100" t="s">
        <v>114</v>
      </c>
      <c r="B12" s="101"/>
      <c r="C12" s="101">
        <v>4</v>
      </c>
      <c r="D12" s="101">
        <v>4</v>
      </c>
      <c r="E12" s="101">
        <v>8</v>
      </c>
      <c r="F12" s="101"/>
      <c r="G12" s="101"/>
      <c r="H12" s="101">
        <v>4</v>
      </c>
      <c r="I12" s="101">
        <v>8</v>
      </c>
      <c r="J12" s="101">
        <v>4</v>
      </c>
      <c r="K12" s="101">
        <v>8</v>
      </c>
      <c r="L12" s="101">
        <v>8</v>
      </c>
      <c r="M12" s="101"/>
      <c r="N12" s="101">
        <v>4</v>
      </c>
      <c r="O12" s="101">
        <v>4</v>
      </c>
      <c r="P12" s="101">
        <v>8</v>
      </c>
      <c r="Q12" s="101"/>
      <c r="R12" s="101">
        <v>4</v>
      </c>
      <c r="S12" s="101">
        <v>8</v>
      </c>
      <c r="T12" s="101"/>
      <c r="U12" s="101"/>
      <c r="V12" s="101"/>
      <c r="W12" s="101">
        <f t="shared" si="0"/>
        <v>76</v>
      </c>
      <c r="X12" s="101">
        <v>1000</v>
      </c>
    </row>
    <row r="13" spans="1:24">
      <c r="A13" s="100" t="s">
        <v>214</v>
      </c>
      <c r="B13" s="101">
        <v>18</v>
      </c>
      <c r="C13" s="101">
        <v>18</v>
      </c>
      <c r="D13" s="101"/>
      <c r="E13" s="101"/>
      <c r="F13" s="101"/>
      <c r="G13" s="101">
        <v>18</v>
      </c>
      <c r="H13" s="101"/>
      <c r="I13" s="101"/>
      <c r="J13" s="101"/>
      <c r="K13" s="101"/>
      <c r="L13" s="101"/>
      <c r="M13" s="101"/>
      <c r="N13" s="101"/>
      <c r="O13" s="101">
        <v>18</v>
      </c>
      <c r="P13" s="101"/>
      <c r="Q13" s="101"/>
      <c r="R13" s="101">
        <v>18</v>
      </c>
      <c r="S13" s="101"/>
      <c r="T13" s="101"/>
      <c r="U13" s="101"/>
      <c r="V13" s="101">
        <v>18</v>
      </c>
      <c r="W13" s="101">
        <f t="shared" si="0"/>
        <v>108</v>
      </c>
      <c r="X13" s="101">
        <v>25</v>
      </c>
    </row>
    <row r="14" spans="1:24">
      <c r="A14" s="100" t="s">
        <v>239</v>
      </c>
      <c r="B14" s="101"/>
      <c r="C14" s="101"/>
      <c r="D14" s="101"/>
      <c r="E14" s="101"/>
      <c r="F14" s="101"/>
      <c r="G14" s="101"/>
      <c r="H14" s="101"/>
      <c r="I14" s="101">
        <v>50</v>
      </c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>
        <f t="shared" si="0"/>
        <v>50</v>
      </c>
      <c r="X14" s="101">
        <v>500</v>
      </c>
    </row>
    <row r="15" spans="1:24">
      <c r="A15" s="100" t="s">
        <v>182</v>
      </c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>
        <v>50</v>
      </c>
      <c r="T15" s="101"/>
      <c r="U15" s="101"/>
      <c r="V15" s="101"/>
      <c r="W15" s="101">
        <f t="shared" si="0"/>
        <v>50</v>
      </c>
      <c r="X15" s="101">
        <v>500</v>
      </c>
    </row>
    <row r="16" spans="1:24">
      <c r="A16" s="100" t="s">
        <v>240</v>
      </c>
      <c r="B16" s="101"/>
      <c r="C16" s="101"/>
      <c r="D16" s="101"/>
      <c r="E16" s="101">
        <v>45</v>
      </c>
      <c r="F16" s="101"/>
      <c r="G16" s="101"/>
      <c r="H16" s="101"/>
      <c r="I16" s="101"/>
      <c r="J16" s="101"/>
      <c r="K16" s="101"/>
      <c r="L16" s="101"/>
      <c r="M16" s="101">
        <v>45</v>
      </c>
      <c r="N16" s="101"/>
      <c r="O16" s="101"/>
      <c r="P16" s="101"/>
      <c r="Q16" s="101"/>
      <c r="R16" s="101"/>
      <c r="S16" s="101"/>
      <c r="T16" s="101"/>
      <c r="U16" s="101"/>
      <c r="V16" s="101"/>
      <c r="W16" s="101">
        <f t="shared" si="0"/>
        <v>90</v>
      </c>
      <c r="X16" s="101">
        <v>45</v>
      </c>
    </row>
    <row r="17" spans="1:24">
      <c r="A17" s="100" t="s">
        <v>152</v>
      </c>
      <c r="B17" s="101"/>
      <c r="C17" s="101"/>
      <c r="D17" s="101"/>
      <c r="E17" s="101">
        <v>13</v>
      </c>
      <c r="F17" s="101"/>
      <c r="G17" s="101"/>
      <c r="H17" s="101"/>
      <c r="I17" s="101"/>
      <c r="J17" s="101"/>
      <c r="K17" s="101">
        <v>13</v>
      </c>
      <c r="L17" s="101"/>
      <c r="M17" s="101"/>
      <c r="N17" s="101"/>
      <c r="O17" s="101"/>
      <c r="P17" s="101">
        <v>13</v>
      </c>
      <c r="Q17" s="101"/>
      <c r="R17" s="101"/>
      <c r="S17" s="101">
        <v>13</v>
      </c>
      <c r="T17" s="101"/>
      <c r="U17" s="101"/>
      <c r="V17" s="101"/>
      <c r="W17" s="101">
        <f t="shared" si="0"/>
        <v>52</v>
      </c>
      <c r="X17" s="101">
        <v>200</v>
      </c>
    </row>
    <row r="18" spans="1:24">
      <c r="A18" s="100" t="s">
        <v>119</v>
      </c>
      <c r="B18" s="101"/>
      <c r="C18" s="101"/>
      <c r="D18" s="101">
        <v>45</v>
      </c>
      <c r="E18" s="101"/>
      <c r="F18" s="101"/>
      <c r="G18" s="101">
        <v>45</v>
      </c>
      <c r="H18" s="101">
        <v>45</v>
      </c>
      <c r="I18" s="101"/>
      <c r="J18" s="101">
        <v>45</v>
      </c>
      <c r="K18" s="101"/>
      <c r="L18" s="101"/>
      <c r="M18" s="101"/>
      <c r="N18" s="101"/>
      <c r="O18" s="101">
        <v>58</v>
      </c>
      <c r="P18" s="101"/>
      <c r="Q18" s="101"/>
      <c r="R18" s="101">
        <v>58</v>
      </c>
      <c r="S18" s="101"/>
      <c r="T18" s="101">
        <v>45</v>
      </c>
      <c r="U18" s="101"/>
      <c r="V18" s="101"/>
      <c r="W18" s="101">
        <f t="shared" si="0"/>
        <v>341</v>
      </c>
      <c r="X18" s="101">
        <v>500</v>
      </c>
    </row>
    <row r="19" spans="1:24">
      <c r="A19" s="100" t="s">
        <v>241</v>
      </c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>
        <v>15</v>
      </c>
      <c r="O19" s="101"/>
      <c r="P19" s="101"/>
      <c r="Q19" s="101"/>
      <c r="R19" s="101"/>
      <c r="S19" s="101"/>
      <c r="T19" s="101"/>
      <c r="U19" s="101"/>
      <c r="V19" s="101"/>
      <c r="W19" s="101">
        <f t="shared" si="0"/>
        <v>15</v>
      </c>
      <c r="X19" s="101">
        <v>70</v>
      </c>
    </row>
    <row r="20" spans="1:24">
      <c r="A20" s="100" t="s">
        <v>242</v>
      </c>
      <c r="B20" s="101"/>
      <c r="C20" s="101"/>
      <c r="D20" s="101">
        <v>14</v>
      </c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>
        <f t="shared" si="0"/>
        <v>14</v>
      </c>
      <c r="X20" s="101">
        <v>500</v>
      </c>
    </row>
    <row r="21" spans="1:24">
      <c r="A21" s="100" t="s">
        <v>78</v>
      </c>
      <c r="B21" s="101">
        <v>80</v>
      </c>
      <c r="C21" s="101"/>
      <c r="D21" s="101"/>
      <c r="E21" s="101"/>
      <c r="F21" s="101"/>
      <c r="G21" s="101">
        <v>80</v>
      </c>
      <c r="H21" s="101"/>
      <c r="I21" s="101"/>
      <c r="J21" s="101"/>
      <c r="K21" s="101"/>
      <c r="L21" s="101"/>
      <c r="M21" s="101">
        <v>80</v>
      </c>
      <c r="N21" s="101"/>
      <c r="O21" s="101"/>
      <c r="P21" s="101"/>
      <c r="Q21" s="101">
        <v>80</v>
      </c>
      <c r="R21" s="101"/>
      <c r="S21" s="101"/>
      <c r="T21" s="101"/>
      <c r="U21" s="101"/>
      <c r="V21" s="101">
        <v>80</v>
      </c>
      <c r="W21" s="101">
        <f t="shared" si="0"/>
        <v>400</v>
      </c>
      <c r="X21" s="101">
        <v>55</v>
      </c>
    </row>
    <row r="22" spans="1:24">
      <c r="A22" s="100" t="s">
        <v>70</v>
      </c>
      <c r="B22" s="101">
        <v>13</v>
      </c>
      <c r="C22" s="101">
        <v>13</v>
      </c>
      <c r="D22" s="101">
        <v>13</v>
      </c>
      <c r="E22" s="101"/>
      <c r="F22" s="101">
        <v>13</v>
      </c>
      <c r="G22" s="101">
        <v>13</v>
      </c>
      <c r="H22" s="101">
        <v>13</v>
      </c>
      <c r="I22" s="101"/>
      <c r="J22" s="101">
        <v>13</v>
      </c>
      <c r="K22" s="101"/>
      <c r="L22" s="101"/>
      <c r="M22" s="101">
        <v>13</v>
      </c>
      <c r="N22" s="101">
        <v>13</v>
      </c>
      <c r="O22" s="101">
        <v>13</v>
      </c>
      <c r="P22" s="101"/>
      <c r="Q22" s="101">
        <v>13</v>
      </c>
      <c r="R22" s="101">
        <v>13</v>
      </c>
      <c r="S22" s="101"/>
      <c r="T22" s="101">
        <v>13</v>
      </c>
      <c r="U22" s="101"/>
      <c r="V22" s="101">
        <v>13</v>
      </c>
      <c r="W22" s="101">
        <f t="shared" si="0"/>
        <v>182</v>
      </c>
      <c r="X22" s="101">
        <v>900</v>
      </c>
    </row>
    <row r="23" spans="1:24">
      <c r="A23" s="100" t="s">
        <v>140</v>
      </c>
      <c r="B23" s="101"/>
      <c r="C23" s="101"/>
      <c r="D23" s="101"/>
      <c r="E23" s="101">
        <v>30</v>
      </c>
      <c r="F23" s="101"/>
      <c r="G23" s="101"/>
      <c r="H23" s="101"/>
      <c r="I23" s="101"/>
      <c r="J23" s="101"/>
      <c r="K23" s="101"/>
      <c r="L23" s="101">
        <v>50</v>
      </c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>
        <f t="shared" si="0"/>
        <v>80</v>
      </c>
      <c r="X23" s="101">
        <v>500</v>
      </c>
    </row>
    <row r="24" spans="1:24">
      <c r="A24" s="100" t="s">
        <v>72</v>
      </c>
      <c r="B24" s="101"/>
      <c r="C24" s="101"/>
      <c r="D24" s="101"/>
      <c r="E24" s="101"/>
      <c r="F24" s="101"/>
      <c r="G24" s="101"/>
      <c r="H24" s="101"/>
      <c r="I24" s="101"/>
      <c r="J24" s="101">
        <v>15</v>
      </c>
      <c r="K24" s="101"/>
      <c r="L24" s="101"/>
      <c r="M24" s="101"/>
      <c r="N24" s="101"/>
      <c r="O24" s="101"/>
      <c r="P24" s="101"/>
      <c r="Q24" s="101">
        <v>15</v>
      </c>
      <c r="R24" s="101"/>
      <c r="S24" s="101"/>
      <c r="T24" s="101"/>
      <c r="U24" s="101"/>
      <c r="V24" s="101"/>
      <c r="W24" s="101">
        <f t="shared" si="0"/>
        <v>30</v>
      </c>
      <c r="X24" s="101">
        <v>500</v>
      </c>
    </row>
    <row r="25" spans="1:24">
      <c r="A25" s="100" t="s">
        <v>179</v>
      </c>
      <c r="B25" s="101"/>
      <c r="C25" s="101"/>
      <c r="D25" s="101"/>
      <c r="E25" s="101"/>
      <c r="F25" s="101"/>
      <c r="G25" s="101"/>
      <c r="H25" s="101">
        <v>15</v>
      </c>
      <c r="I25" s="101">
        <v>15</v>
      </c>
      <c r="J25" s="101"/>
      <c r="K25" s="101"/>
      <c r="L25" s="101">
        <v>15</v>
      </c>
      <c r="M25" s="101"/>
      <c r="N25" s="101"/>
      <c r="O25" s="101"/>
      <c r="P25" s="101"/>
      <c r="Q25" s="101"/>
      <c r="R25" s="101"/>
      <c r="S25" s="101"/>
      <c r="T25" s="101">
        <v>15</v>
      </c>
      <c r="U25" s="101">
        <v>15</v>
      </c>
      <c r="V25" s="101"/>
      <c r="W25" s="101">
        <f t="shared" si="0"/>
        <v>75</v>
      </c>
      <c r="X25" s="101">
        <v>500</v>
      </c>
    </row>
    <row r="26" spans="1:24">
      <c r="A26" s="100" t="s">
        <v>92</v>
      </c>
      <c r="B26" s="101">
        <v>1</v>
      </c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>
        <v>1</v>
      </c>
      <c r="W26" s="101">
        <f t="shared" si="0"/>
        <v>2</v>
      </c>
      <c r="X26" s="101">
        <v>1</v>
      </c>
    </row>
    <row r="27" spans="1:24">
      <c r="A27" s="100" t="s">
        <v>200</v>
      </c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>
        <v>15</v>
      </c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>
        <f t="shared" si="0"/>
        <v>15</v>
      </c>
      <c r="X27" s="101">
        <v>1000</v>
      </c>
    </row>
    <row r="28" spans="1:24">
      <c r="A28" s="100" t="s">
        <v>158</v>
      </c>
      <c r="B28" s="101"/>
      <c r="C28" s="101"/>
      <c r="D28" s="101"/>
      <c r="E28" s="101"/>
      <c r="F28" s="101">
        <v>50</v>
      </c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>
        <v>50</v>
      </c>
      <c r="V28" s="101"/>
      <c r="W28" s="101">
        <f t="shared" si="0"/>
        <v>100</v>
      </c>
      <c r="X28" s="101">
        <v>250</v>
      </c>
    </row>
    <row r="29" spans="1:24">
      <c r="A29" s="100" t="s">
        <v>195</v>
      </c>
      <c r="B29" s="101"/>
      <c r="C29" s="101"/>
      <c r="D29" s="101"/>
      <c r="E29" s="101"/>
      <c r="F29" s="101"/>
      <c r="G29" s="101"/>
      <c r="H29" s="101"/>
      <c r="I29" s="101"/>
      <c r="J29" s="101"/>
      <c r="K29" s="101">
        <v>2</v>
      </c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>
        <f t="shared" si="0"/>
        <v>2</v>
      </c>
      <c r="X29" s="101">
        <v>120</v>
      </c>
    </row>
    <row r="30" spans="1:24">
      <c r="A30" s="100" t="s">
        <v>116</v>
      </c>
      <c r="B30" s="101"/>
      <c r="C30" s="101">
        <v>2</v>
      </c>
      <c r="D30" s="101">
        <v>2</v>
      </c>
      <c r="E30" s="101">
        <v>2</v>
      </c>
      <c r="F30" s="101"/>
      <c r="G30" s="101"/>
      <c r="H30" s="101">
        <v>2</v>
      </c>
      <c r="I30" s="101">
        <v>2</v>
      </c>
      <c r="J30" s="101"/>
      <c r="K30" s="101">
        <v>2</v>
      </c>
      <c r="L30" s="101">
        <v>2</v>
      </c>
      <c r="M30" s="101"/>
      <c r="N30" s="101"/>
      <c r="O30" s="101">
        <v>2</v>
      </c>
      <c r="P30" s="101">
        <v>2</v>
      </c>
      <c r="Q30" s="101"/>
      <c r="R30" s="101">
        <v>2</v>
      </c>
      <c r="S30" s="101">
        <v>2</v>
      </c>
      <c r="T30" s="101"/>
      <c r="U30" s="101"/>
      <c r="V30" s="101"/>
      <c r="W30" s="101">
        <f t="shared" si="0"/>
        <v>22</v>
      </c>
      <c r="X30" s="101">
        <v>1000</v>
      </c>
    </row>
    <row r="31" spans="1:24">
      <c r="A31" s="100" t="s">
        <v>131</v>
      </c>
      <c r="B31" s="101"/>
      <c r="C31" s="101">
        <v>250</v>
      </c>
      <c r="D31" s="101"/>
      <c r="E31" s="101"/>
      <c r="F31" s="101"/>
      <c r="G31" s="101"/>
      <c r="H31" s="101"/>
      <c r="I31" s="101">
        <v>250</v>
      </c>
      <c r="J31" s="101"/>
      <c r="K31" s="101"/>
      <c r="L31" s="101"/>
      <c r="M31" s="101"/>
      <c r="N31" s="101"/>
      <c r="O31" s="101"/>
      <c r="P31" s="101"/>
      <c r="Q31" s="101">
        <v>200</v>
      </c>
      <c r="R31" s="101"/>
      <c r="S31" s="101"/>
      <c r="T31" s="101"/>
      <c r="U31" s="101"/>
      <c r="V31" s="101"/>
      <c r="W31" s="101">
        <f t="shared" si="0"/>
        <v>700</v>
      </c>
      <c r="X31" s="101">
        <v>120</v>
      </c>
    </row>
    <row r="32" spans="1:24">
      <c r="A32" s="100" t="s">
        <v>148</v>
      </c>
      <c r="B32" s="101"/>
      <c r="C32" s="101"/>
      <c r="D32" s="101"/>
      <c r="E32" s="101">
        <v>100</v>
      </c>
      <c r="F32" s="101"/>
      <c r="G32" s="101"/>
      <c r="H32" s="101"/>
      <c r="I32" s="101"/>
      <c r="J32" s="101"/>
      <c r="K32" s="101"/>
      <c r="L32" s="101"/>
      <c r="M32" s="101">
        <v>150</v>
      </c>
      <c r="N32" s="101"/>
      <c r="O32" s="101"/>
      <c r="P32" s="101"/>
      <c r="Q32" s="101"/>
      <c r="R32" s="101"/>
      <c r="S32" s="101"/>
      <c r="T32" s="101"/>
      <c r="U32" s="101"/>
      <c r="V32" s="101"/>
      <c r="W32" s="101">
        <f t="shared" si="0"/>
        <v>250</v>
      </c>
      <c r="X32" s="101">
        <v>1000</v>
      </c>
    </row>
    <row r="33" spans="1:24">
      <c r="A33" s="100" t="s">
        <v>243</v>
      </c>
      <c r="B33" s="101"/>
      <c r="C33" s="101"/>
      <c r="D33" s="101"/>
      <c r="E33" s="101"/>
      <c r="F33" s="101"/>
      <c r="G33" s="101"/>
      <c r="H33" s="101">
        <v>1</v>
      </c>
      <c r="I33" s="101"/>
      <c r="J33" s="101"/>
      <c r="K33" s="101"/>
      <c r="L33" s="101"/>
      <c r="M33" s="101"/>
      <c r="N33" s="101"/>
      <c r="O33" s="101"/>
      <c r="P33" s="101"/>
      <c r="Q33" s="101">
        <v>1</v>
      </c>
      <c r="R33" s="101"/>
      <c r="S33" s="101"/>
      <c r="T33" s="101"/>
      <c r="U33" s="101"/>
      <c r="V33" s="101"/>
      <c r="W33" s="101">
        <f t="shared" si="0"/>
        <v>2</v>
      </c>
      <c r="X33" s="101">
        <v>1</v>
      </c>
    </row>
    <row r="34" spans="1:24">
      <c r="A34" s="100" t="s">
        <v>155</v>
      </c>
      <c r="B34" s="101"/>
      <c r="C34" s="101"/>
      <c r="D34" s="101"/>
      <c r="E34" s="101"/>
      <c r="F34" s="101">
        <v>50</v>
      </c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>
        <v>50</v>
      </c>
      <c r="V34" s="101"/>
      <c r="W34" s="101">
        <f t="shared" si="0"/>
        <v>100</v>
      </c>
      <c r="X34" s="101">
        <v>500</v>
      </c>
    </row>
    <row r="35" spans="1:24">
      <c r="A35" s="100" t="s">
        <v>112</v>
      </c>
      <c r="B35" s="101"/>
      <c r="C35" s="101">
        <v>50</v>
      </c>
      <c r="D35" s="101"/>
      <c r="E35" s="101"/>
      <c r="F35" s="101"/>
      <c r="G35" s="101"/>
      <c r="H35" s="101">
        <v>50</v>
      </c>
      <c r="I35" s="101"/>
      <c r="J35" s="101"/>
      <c r="K35" s="101"/>
      <c r="L35" s="101"/>
      <c r="M35" s="101"/>
      <c r="N35" s="101">
        <v>50</v>
      </c>
      <c r="O35" s="101"/>
      <c r="P35" s="101"/>
      <c r="Q35" s="101"/>
      <c r="R35" s="101"/>
      <c r="S35" s="102"/>
      <c r="T35" s="101">
        <v>50</v>
      </c>
      <c r="U35" s="101"/>
      <c r="V35" s="101"/>
      <c r="W35" s="101">
        <f t="shared" si="0"/>
        <v>200</v>
      </c>
      <c r="X35" s="101">
        <v>500</v>
      </c>
    </row>
    <row r="36" spans="1:24">
      <c r="A36" s="100" t="s">
        <v>86</v>
      </c>
      <c r="B36" s="103">
        <v>0.5</v>
      </c>
      <c r="C36" s="101">
        <v>1</v>
      </c>
      <c r="D36" s="101">
        <v>1</v>
      </c>
      <c r="E36" s="103">
        <v>1</v>
      </c>
      <c r="F36" s="103">
        <v>0.5</v>
      </c>
      <c r="G36" s="101">
        <v>1</v>
      </c>
      <c r="H36" s="101">
        <v>1</v>
      </c>
      <c r="I36" s="103">
        <v>1.5</v>
      </c>
      <c r="J36" s="103">
        <v>0.5</v>
      </c>
      <c r="K36" s="101">
        <v>1</v>
      </c>
      <c r="L36" s="101">
        <v>1</v>
      </c>
      <c r="M36" s="101">
        <v>1</v>
      </c>
      <c r="N36" s="101">
        <v>1</v>
      </c>
      <c r="O36" s="101">
        <v>1</v>
      </c>
      <c r="P36" s="101">
        <v>1</v>
      </c>
      <c r="Q36" s="101">
        <v>1</v>
      </c>
      <c r="R36" s="101">
        <v>1</v>
      </c>
      <c r="S36" s="101">
        <v>1</v>
      </c>
      <c r="T36" s="101">
        <v>1</v>
      </c>
      <c r="U36" s="101">
        <v>0.5</v>
      </c>
      <c r="V36" s="103">
        <v>0.5</v>
      </c>
      <c r="W36" s="101">
        <f t="shared" si="0"/>
        <v>19</v>
      </c>
      <c r="X36" s="101">
        <v>500</v>
      </c>
    </row>
    <row r="37" spans="1:24">
      <c r="A37" s="100" t="s">
        <v>244</v>
      </c>
      <c r="B37" s="101"/>
      <c r="C37" s="101"/>
      <c r="D37" s="101"/>
      <c r="E37" s="101"/>
      <c r="F37" s="101"/>
      <c r="G37" s="101"/>
      <c r="H37" s="101"/>
      <c r="I37" s="101"/>
      <c r="J37" s="101">
        <v>50</v>
      </c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>
        <f t="shared" si="0"/>
        <v>50</v>
      </c>
      <c r="X37" s="101">
        <v>400</v>
      </c>
    </row>
    <row r="38" spans="1:24">
      <c r="A38" s="100" t="s">
        <v>126</v>
      </c>
      <c r="B38" s="101"/>
      <c r="C38" s="101"/>
      <c r="D38" s="101">
        <v>50</v>
      </c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>
        <v>50</v>
      </c>
      <c r="P38" s="101"/>
      <c r="Q38" s="101"/>
      <c r="R38" s="101"/>
      <c r="S38" s="101"/>
      <c r="T38" s="101"/>
      <c r="U38" s="101"/>
      <c r="V38" s="101"/>
      <c r="W38" s="101">
        <f t="shared" si="0"/>
        <v>100</v>
      </c>
      <c r="X38" s="101">
        <v>500</v>
      </c>
    </row>
    <row r="39" spans="1:24">
      <c r="A39" s="100" t="s">
        <v>82</v>
      </c>
      <c r="B39" s="101">
        <v>6</v>
      </c>
      <c r="C39" s="101">
        <v>6</v>
      </c>
      <c r="D39" s="101"/>
      <c r="E39" s="101"/>
      <c r="F39" s="101">
        <v>6</v>
      </c>
      <c r="G39" s="101">
        <v>6</v>
      </c>
      <c r="H39" s="101">
        <v>6</v>
      </c>
      <c r="I39" s="101"/>
      <c r="J39" s="101">
        <v>6</v>
      </c>
      <c r="K39" s="101">
        <v>6</v>
      </c>
      <c r="L39" s="101"/>
      <c r="M39" s="101">
        <v>6</v>
      </c>
      <c r="N39" s="101">
        <v>6</v>
      </c>
      <c r="O39" s="101"/>
      <c r="P39" s="101">
        <v>6</v>
      </c>
      <c r="Q39" s="101">
        <v>6</v>
      </c>
      <c r="R39" s="101">
        <v>6</v>
      </c>
      <c r="S39" s="101"/>
      <c r="T39" s="101">
        <v>6</v>
      </c>
      <c r="U39" s="101">
        <v>6</v>
      </c>
      <c r="V39" s="101">
        <v>6</v>
      </c>
      <c r="W39" s="101">
        <f t="shared" si="0"/>
        <v>90</v>
      </c>
      <c r="X39" s="101">
        <v>1000</v>
      </c>
    </row>
    <row r="40" spans="1:24">
      <c r="A40" s="100" t="s">
        <v>142</v>
      </c>
      <c r="B40" s="101"/>
      <c r="C40" s="101"/>
      <c r="D40" s="101"/>
      <c r="E40" s="101">
        <v>10</v>
      </c>
      <c r="F40" s="101"/>
      <c r="G40" s="101"/>
      <c r="H40" s="101"/>
      <c r="I40" s="101">
        <v>10</v>
      </c>
      <c r="J40" s="101"/>
      <c r="K40" s="101">
        <v>10</v>
      </c>
      <c r="L40" s="101">
        <v>10</v>
      </c>
      <c r="M40" s="101"/>
      <c r="N40" s="101"/>
      <c r="O40" s="101"/>
      <c r="P40" s="101">
        <v>10</v>
      </c>
      <c r="Q40" s="101"/>
      <c r="R40" s="101"/>
      <c r="S40" s="101">
        <v>10</v>
      </c>
      <c r="T40" s="101"/>
      <c r="U40" s="101"/>
      <c r="V40" s="101"/>
      <c r="W40" s="101">
        <f t="shared" si="0"/>
        <v>60</v>
      </c>
      <c r="X40" s="101">
        <v>1000</v>
      </c>
    </row>
    <row r="41" spans="1:24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L41" s="102"/>
      <c r="M41" s="102"/>
      <c r="N41" s="102"/>
      <c r="O41" s="102"/>
      <c r="Q41" s="102"/>
      <c r="R41" s="102"/>
      <c r="S41" s="102"/>
      <c r="T41" s="102"/>
      <c r="U41" s="102"/>
      <c r="V41" s="102"/>
      <c r="W41" s="102"/>
      <c r="X41" s="102"/>
    </row>
  </sheetData>
  <pageMargins left="0.70866141732283472" right="0.70866141732283472" top="0.74803149606299213" bottom="0.74803149606299213" header="0.31496062992125984" footer="0.31496062992125984"/>
  <pageSetup paperSize="5" scale="71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FC60A-9F42-4B4D-885A-958404FC54A1}">
  <sheetPr codeName="Hoja3"/>
  <dimension ref="A1:L508"/>
  <sheetViews>
    <sheetView view="pageBreakPreview" zoomScale="80" zoomScaleNormal="100" zoomScaleSheetLayoutView="80" workbookViewId="0">
      <selection activeCell="M13" sqref="M13"/>
    </sheetView>
  </sheetViews>
  <sheetFormatPr baseColWidth="10" defaultRowHeight="15"/>
  <cols>
    <col min="1" max="1" width="20.42578125" style="21" customWidth="1"/>
    <col min="2" max="2" width="19.7109375" style="21" customWidth="1"/>
    <col min="3" max="3" width="47.5703125" style="96" customWidth="1"/>
    <col min="4" max="4" width="8.5703125" style="21" customWidth="1"/>
    <col min="5" max="5" width="11.28515625" style="97" customWidth="1"/>
    <col min="6" max="6" width="9" style="97" customWidth="1"/>
    <col min="7" max="7" width="12.85546875" style="21" customWidth="1"/>
    <col min="8" max="8" width="12.140625" style="21" customWidth="1"/>
    <col min="9" max="9" width="9" style="21" customWidth="1"/>
    <col min="10" max="10" width="8.85546875" style="21" customWidth="1"/>
    <col min="11" max="11" width="9.7109375" style="21" customWidth="1"/>
    <col min="12" max="12" width="11" style="21" customWidth="1"/>
    <col min="13" max="252" width="11.42578125" style="21"/>
    <col min="253" max="253" width="18.28515625" style="21" customWidth="1"/>
    <col min="254" max="254" width="23.85546875" style="21" customWidth="1"/>
    <col min="255" max="255" width="26.5703125" style="21" customWidth="1"/>
    <col min="256" max="259" width="11.42578125" style="21"/>
    <col min="260" max="260" width="11.28515625" style="21" customWidth="1"/>
    <col min="261" max="261" width="9" style="21" customWidth="1"/>
    <col min="262" max="262" width="8.85546875" style="21" customWidth="1"/>
    <col min="263" max="263" width="9.7109375" style="21" customWidth="1"/>
    <col min="264" max="264" width="9.42578125" style="21" customWidth="1"/>
    <col min="265" max="508" width="11.42578125" style="21"/>
    <col min="509" max="509" width="18.28515625" style="21" customWidth="1"/>
    <col min="510" max="510" width="23.85546875" style="21" customWidth="1"/>
    <col min="511" max="511" width="26.5703125" style="21" customWidth="1"/>
    <col min="512" max="515" width="11.42578125" style="21"/>
    <col min="516" max="516" width="11.28515625" style="21" customWidth="1"/>
    <col min="517" max="517" width="9" style="21" customWidth="1"/>
    <col min="518" max="518" width="8.85546875" style="21" customWidth="1"/>
    <col min="519" max="519" width="9.7109375" style="21" customWidth="1"/>
    <col min="520" max="520" width="9.42578125" style="21" customWidth="1"/>
    <col min="521" max="764" width="11.42578125" style="21"/>
    <col min="765" max="765" width="18.28515625" style="21" customWidth="1"/>
    <col min="766" max="766" width="23.85546875" style="21" customWidth="1"/>
    <col min="767" max="767" width="26.5703125" style="21" customWidth="1"/>
    <col min="768" max="771" width="11.42578125" style="21"/>
    <col min="772" max="772" width="11.28515625" style="21" customWidth="1"/>
    <col min="773" max="773" width="9" style="21" customWidth="1"/>
    <col min="774" max="774" width="8.85546875" style="21" customWidth="1"/>
    <col min="775" max="775" width="9.7109375" style="21" customWidth="1"/>
    <col min="776" max="776" width="9.42578125" style="21" customWidth="1"/>
    <col min="777" max="1020" width="11.42578125" style="21"/>
    <col min="1021" max="1021" width="18.28515625" style="21" customWidth="1"/>
    <col min="1022" max="1022" width="23.85546875" style="21" customWidth="1"/>
    <col min="1023" max="1023" width="26.5703125" style="21" customWidth="1"/>
    <col min="1024" max="1027" width="11.42578125" style="21"/>
    <col min="1028" max="1028" width="11.28515625" style="21" customWidth="1"/>
    <col min="1029" max="1029" width="9" style="21" customWidth="1"/>
    <col min="1030" max="1030" width="8.85546875" style="21" customWidth="1"/>
    <col min="1031" max="1031" width="9.7109375" style="21" customWidth="1"/>
    <col min="1032" max="1032" width="9.42578125" style="21" customWidth="1"/>
    <col min="1033" max="1276" width="11.42578125" style="21"/>
    <col min="1277" max="1277" width="18.28515625" style="21" customWidth="1"/>
    <col min="1278" max="1278" width="23.85546875" style="21" customWidth="1"/>
    <col min="1279" max="1279" width="26.5703125" style="21" customWidth="1"/>
    <col min="1280" max="1283" width="11.42578125" style="21"/>
    <col min="1284" max="1284" width="11.28515625" style="21" customWidth="1"/>
    <col min="1285" max="1285" width="9" style="21" customWidth="1"/>
    <col min="1286" max="1286" width="8.85546875" style="21" customWidth="1"/>
    <col min="1287" max="1287" width="9.7109375" style="21" customWidth="1"/>
    <col min="1288" max="1288" width="9.42578125" style="21" customWidth="1"/>
    <col min="1289" max="1532" width="11.42578125" style="21"/>
    <col min="1533" max="1533" width="18.28515625" style="21" customWidth="1"/>
    <col min="1534" max="1534" width="23.85546875" style="21" customWidth="1"/>
    <col min="1535" max="1535" width="26.5703125" style="21" customWidth="1"/>
    <col min="1536" max="1539" width="11.42578125" style="21"/>
    <col min="1540" max="1540" width="11.28515625" style="21" customWidth="1"/>
    <col min="1541" max="1541" width="9" style="21" customWidth="1"/>
    <col min="1542" max="1542" width="8.85546875" style="21" customWidth="1"/>
    <col min="1543" max="1543" width="9.7109375" style="21" customWidth="1"/>
    <col min="1544" max="1544" width="9.42578125" style="21" customWidth="1"/>
    <col min="1545" max="1788" width="11.42578125" style="21"/>
    <col min="1789" max="1789" width="18.28515625" style="21" customWidth="1"/>
    <col min="1790" max="1790" width="23.85546875" style="21" customWidth="1"/>
    <col min="1791" max="1791" width="26.5703125" style="21" customWidth="1"/>
    <col min="1792" max="1795" width="11.42578125" style="21"/>
    <col min="1796" max="1796" width="11.28515625" style="21" customWidth="1"/>
    <col min="1797" max="1797" width="9" style="21" customWidth="1"/>
    <col min="1798" max="1798" width="8.85546875" style="21" customWidth="1"/>
    <col min="1799" max="1799" width="9.7109375" style="21" customWidth="1"/>
    <col min="1800" max="1800" width="9.42578125" style="21" customWidth="1"/>
    <col min="1801" max="2044" width="11.42578125" style="21"/>
    <col min="2045" max="2045" width="18.28515625" style="21" customWidth="1"/>
    <col min="2046" max="2046" width="23.85546875" style="21" customWidth="1"/>
    <col min="2047" max="2047" width="26.5703125" style="21" customWidth="1"/>
    <col min="2048" max="2051" width="11.42578125" style="21"/>
    <col min="2052" max="2052" width="11.28515625" style="21" customWidth="1"/>
    <col min="2053" max="2053" width="9" style="21" customWidth="1"/>
    <col min="2054" max="2054" width="8.85546875" style="21" customWidth="1"/>
    <col min="2055" max="2055" width="9.7109375" style="21" customWidth="1"/>
    <col min="2056" max="2056" width="9.42578125" style="21" customWidth="1"/>
    <col min="2057" max="2300" width="11.42578125" style="21"/>
    <col min="2301" max="2301" width="18.28515625" style="21" customWidth="1"/>
    <col min="2302" max="2302" width="23.85546875" style="21" customWidth="1"/>
    <col min="2303" max="2303" width="26.5703125" style="21" customWidth="1"/>
    <col min="2304" max="2307" width="11.42578125" style="21"/>
    <col min="2308" max="2308" width="11.28515625" style="21" customWidth="1"/>
    <col min="2309" max="2309" width="9" style="21" customWidth="1"/>
    <col min="2310" max="2310" width="8.85546875" style="21" customWidth="1"/>
    <col min="2311" max="2311" width="9.7109375" style="21" customWidth="1"/>
    <col min="2312" max="2312" width="9.42578125" style="21" customWidth="1"/>
    <col min="2313" max="2556" width="11.42578125" style="21"/>
    <col min="2557" max="2557" width="18.28515625" style="21" customWidth="1"/>
    <col min="2558" max="2558" width="23.85546875" style="21" customWidth="1"/>
    <col min="2559" max="2559" width="26.5703125" style="21" customWidth="1"/>
    <col min="2560" max="2563" width="11.42578125" style="21"/>
    <col min="2564" max="2564" width="11.28515625" style="21" customWidth="1"/>
    <col min="2565" max="2565" width="9" style="21" customWidth="1"/>
    <col min="2566" max="2566" width="8.85546875" style="21" customWidth="1"/>
    <col min="2567" max="2567" width="9.7109375" style="21" customWidth="1"/>
    <col min="2568" max="2568" width="9.42578125" style="21" customWidth="1"/>
    <col min="2569" max="2812" width="11.42578125" style="21"/>
    <col min="2813" max="2813" width="18.28515625" style="21" customWidth="1"/>
    <col min="2814" max="2814" width="23.85546875" style="21" customWidth="1"/>
    <col min="2815" max="2815" width="26.5703125" style="21" customWidth="1"/>
    <col min="2816" max="2819" width="11.42578125" style="21"/>
    <col min="2820" max="2820" width="11.28515625" style="21" customWidth="1"/>
    <col min="2821" max="2821" width="9" style="21" customWidth="1"/>
    <col min="2822" max="2822" width="8.85546875" style="21" customWidth="1"/>
    <col min="2823" max="2823" width="9.7109375" style="21" customWidth="1"/>
    <col min="2824" max="2824" width="9.42578125" style="21" customWidth="1"/>
    <col min="2825" max="3068" width="11.42578125" style="21"/>
    <col min="3069" max="3069" width="18.28515625" style="21" customWidth="1"/>
    <col min="3070" max="3070" width="23.85546875" style="21" customWidth="1"/>
    <col min="3071" max="3071" width="26.5703125" style="21" customWidth="1"/>
    <col min="3072" max="3075" width="11.42578125" style="21"/>
    <col min="3076" max="3076" width="11.28515625" style="21" customWidth="1"/>
    <col min="3077" max="3077" width="9" style="21" customWidth="1"/>
    <col min="3078" max="3078" width="8.85546875" style="21" customWidth="1"/>
    <col min="3079" max="3079" width="9.7109375" style="21" customWidth="1"/>
    <col min="3080" max="3080" width="9.42578125" style="21" customWidth="1"/>
    <col min="3081" max="3324" width="11.42578125" style="21"/>
    <col min="3325" max="3325" width="18.28515625" style="21" customWidth="1"/>
    <col min="3326" max="3326" width="23.85546875" style="21" customWidth="1"/>
    <col min="3327" max="3327" width="26.5703125" style="21" customWidth="1"/>
    <col min="3328" max="3331" width="11.42578125" style="21"/>
    <col min="3332" max="3332" width="11.28515625" style="21" customWidth="1"/>
    <col min="3333" max="3333" width="9" style="21" customWidth="1"/>
    <col min="3334" max="3334" width="8.85546875" style="21" customWidth="1"/>
    <col min="3335" max="3335" width="9.7109375" style="21" customWidth="1"/>
    <col min="3336" max="3336" width="9.42578125" style="21" customWidth="1"/>
    <col min="3337" max="3580" width="11.42578125" style="21"/>
    <col min="3581" max="3581" width="18.28515625" style="21" customWidth="1"/>
    <col min="3582" max="3582" width="23.85546875" style="21" customWidth="1"/>
    <col min="3583" max="3583" width="26.5703125" style="21" customWidth="1"/>
    <col min="3584" max="3587" width="11.42578125" style="21"/>
    <col min="3588" max="3588" width="11.28515625" style="21" customWidth="1"/>
    <col min="3589" max="3589" width="9" style="21" customWidth="1"/>
    <col min="3590" max="3590" width="8.85546875" style="21" customWidth="1"/>
    <col min="3591" max="3591" width="9.7109375" style="21" customWidth="1"/>
    <col min="3592" max="3592" width="9.42578125" style="21" customWidth="1"/>
    <col min="3593" max="3836" width="11.42578125" style="21"/>
    <col min="3837" max="3837" width="18.28515625" style="21" customWidth="1"/>
    <col min="3838" max="3838" width="23.85546875" style="21" customWidth="1"/>
    <col min="3839" max="3839" width="26.5703125" style="21" customWidth="1"/>
    <col min="3840" max="3843" width="11.42578125" style="21"/>
    <col min="3844" max="3844" width="11.28515625" style="21" customWidth="1"/>
    <col min="3845" max="3845" width="9" style="21" customWidth="1"/>
    <col min="3846" max="3846" width="8.85546875" style="21" customWidth="1"/>
    <col min="3847" max="3847" width="9.7109375" style="21" customWidth="1"/>
    <col min="3848" max="3848" width="9.42578125" style="21" customWidth="1"/>
    <col min="3849" max="4092" width="11.42578125" style="21"/>
    <col min="4093" max="4093" width="18.28515625" style="21" customWidth="1"/>
    <col min="4094" max="4094" width="23.85546875" style="21" customWidth="1"/>
    <col min="4095" max="4095" width="26.5703125" style="21" customWidth="1"/>
    <col min="4096" max="4099" width="11.42578125" style="21"/>
    <col min="4100" max="4100" width="11.28515625" style="21" customWidth="1"/>
    <col min="4101" max="4101" width="9" style="21" customWidth="1"/>
    <col min="4102" max="4102" width="8.85546875" style="21" customWidth="1"/>
    <col min="4103" max="4103" width="9.7109375" style="21" customWidth="1"/>
    <col min="4104" max="4104" width="9.42578125" style="21" customWidth="1"/>
    <col min="4105" max="4348" width="11.42578125" style="21"/>
    <col min="4349" max="4349" width="18.28515625" style="21" customWidth="1"/>
    <col min="4350" max="4350" width="23.85546875" style="21" customWidth="1"/>
    <col min="4351" max="4351" width="26.5703125" style="21" customWidth="1"/>
    <col min="4352" max="4355" width="11.42578125" style="21"/>
    <col min="4356" max="4356" width="11.28515625" style="21" customWidth="1"/>
    <col min="4357" max="4357" width="9" style="21" customWidth="1"/>
    <col min="4358" max="4358" width="8.85546875" style="21" customWidth="1"/>
    <col min="4359" max="4359" width="9.7109375" style="21" customWidth="1"/>
    <col min="4360" max="4360" width="9.42578125" style="21" customWidth="1"/>
    <col min="4361" max="4604" width="11.42578125" style="21"/>
    <col min="4605" max="4605" width="18.28515625" style="21" customWidth="1"/>
    <col min="4606" max="4606" width="23.85546875" style="21" customWidth="1"/>
    <col min="4607" max="4607" width="26.5703125" style="21" customWidth="1"/>
    <col min="4608" max="4611" width="11.42578125" style="21"/>
    <col min="4612" max="4612" width="11.28515625" style="21" customWidth="1"/>
    <col min="4613" max="4613" width="9" style="21" customWidth="1"/>
    <col min="4614" max="4614" width="8.85546875" style="21" customWidth="1"/>
    <col min="4615" max="4615" width="9.7109375" style="21" customWidth="1"/>
    <col min="4616" max="4616" width="9.42578125" style="21" customWidth="1"/>
    <col min="4617" max="4860" width="11.42578125" style="21"/>
    <col min="4861" max="4861" width="18.28515625" style="21" customWidth="1"/>
    <col min="4862" max="4862" width="23.85546875" style="21" customWidth="1"/>
    <col min="4863" max="4863" width="26.5703125" style="21" customWidth="1"/>
    <col min="4864" max="4867" width="11.42578125" style="21"/>
    <col min="4868" max="4868" width="11.28515625" style="21" customWidth="1"/>
    <col min="4869" max="4869" width="9" style="21" customWidth="1"/>
    <col min="4870" max="4870" width="8.85546875" style="21" customWidth="1"/>
    <col min="4871" max="4871" width="9.7109375" style="21" customWidth="1"/>
    <col min="4872" max="4872" width="9.42578125" style="21" customWidth="1"/>
    <col min="4873" max="5116" width="11.42578125" style="21"/>
    <col min="5117" max="5117" width="18.28515625" style="21" customWidth="1"/>
    <col min="5118" max="5118" width="23.85546875" style="21" customWidth="1"/>
    <col min="5119" max="5119" width="26.5703125" style="21" customWidth="1"/>
    <col min="5120" max="5123" width="11.42578125" style="21"/>
    <col min="5124" max="5124" width="11.28515625" style="21" customWidth="1"/>
    <col min="5125" max="5125" width="9" style="21" customWidth="1"/>
    <col min="5126" max="5126" width="8.85546875" style="21" customWidth="1"/>
    <col min="5127" max="5127" width="9.7109375" style="21" customWidth="1"/>
    <col min="5128" max="5128" width="9.42578125" style="21" customWidth="1"/>
    <col min="5129" max="5372" width="11.42578125" style="21"/>
    <col min="5373" max="5373" width="18.28515625" style="21" customWidth="1"/>
    <col min="5374" max="5374" width="23.85546875" style="21" customWidth="1"/>
    <col min="5375" max="5375" width="26.5703125" style="21" customWidth="1"/>
    <col min="5376" max="5379" width="11.42578125" style="21"/>
    <col min="5380" max="5380" width="11.28515625" style="21" customWidth="1"/>
    <col min="5381" max="5381" width="9" style="21" customWidth="1"/>
    <col min="5382" max="5382" width="8.85546875" style="21" customWidth="1"/>
    <col min="5383" max="5383" width="9.7109375" style="21" customWidth="1"/>
    <col min="5384" max="5384" width="9.42578125" style="21" customWidth="1"/>
    <col min="5385" max="5628" width="11.42578125" style="21"/>
    <col min="5629" max="5629" width="18.28515625" style="21" customWidth="1"/>
    <col min="5630" max="5630" width="23.85546875" style="21" customWidth="1"/>
    <col min="5631" max="5631" width="26.5703125" style="21" customWidth="1"/>
    <col min="5632" max="5635" width="11.42578125" style="21"/>
    <col min="5636" max="5636" width="11.28515625" style="21" customWidth="1"/>
    <col min="5637" max="5637" width="9" style="21" customWidth="1"/>
    <col min="5638" max="5638" width="8.85546875" style="21" customWidth="1"/>
    <col min="5639" max="5639" width="9.7109375" style="21" customWidth="1"/>
    <col min="5640" max="5640" width="9.42578125" style="21" customWidth="1"/>
    <col min="5641" max="5884" width="11.42578125" style="21"/>
    <col min="5885" max="5885" width="18.28515625" style="21" customWidth="1"/>
    <col min="5886" max="5886" width="23.85546875" style="21" customWidth="1"/>
    <col min="5887" max="5887" width="26.5703125" style="21" customWidth="1"/>
    <col min="5888" max="5891" width="11.42578125" style="21"/>
    <col min="5892" max="5892" width="11.28515625" style="21" customWidth="1"/>
    <col min="5893" max="5893" width="9" style="21" customWidth="1"/>
    <col min="5894" max="5894" width="8.85546875" style="21" customWidth="1"/>
    <col min="5895" max="5895" width="9.7109375" style="21" customWidth="1"/>
    <col min="5896" max="5896" width="9.42578125" style="21" customWidth="1"/>
    <col min="5897" max="6140" width="11.42578125" style="21"/>
    <col min="6141" max="6141" width="18.28515625" style="21" customWidth="1"/>
    <col min="6142" max="6142" width="23.85546875" style="21" customWidth="1"/>
    <col min="6143" max="6143" width="26.5703125" style="21" customWidth="1"/>
    <col min="6144" max="6147" width="11.42578125" style="21"/>
    <col min="6148" max="6148" width="11.28515625" style="21" customWidth="1"/>
    <col min="6149" max="6149" width="9" style="21" customWidth="1"/>
    <col min="6150" max="6150" width="8.85546875" style="21" customWidth="1"/>
    <col min="6151" max="6151" width="9.7109375" style="21" customWidth="1"/>
    <col min="6152" max="6152" width="9.42578125" style="21" customWidth="1"/>
    <col min="6153" max="6396" width="11.42578125" style="21"/>
    <col min="6397" max="6397" width="18.28515625" style="21" customWidth="1"/>
    <col min="6398" max="6398" width="23.85546875" style="21" customWidth="1"/>
    <col min="6399" max="6399" width="26.5703125" style="21" customWidth="1"/>
    <col min="6400" max="6403" width="11.42578125" style="21"/>
    <col min="6404" max="6404" width="11.28515625" style="21" customWidth="1"/>
    <col min="6405" max="6405" width="9" style="21" customWidth="1"/>
    <col min="6406" max="6406" width="8.85546875" style="21" customWidth="1"/>
    <col min="6407" max="6407" width="9.7109375" style="21" customWidth="1"/>
    <col min="6408" max="6408" width="9.42578125" style="21" customWidth="1"/>
    <col min="6409" max="6652" width="11.42578125" style="21"/>
    <col min="6653" max="6653" width="18.28515625" style="21" customWidth="1"/>
    <col min="6654" max="6654" width="23.85546875" style="21" customWidth="1"/>
    <col min="6655" max="6655" width="26.5703125" style="21" customWidth="1"/>
    <col min="6656" max="6659" width="11.42578125" style="21"/>
    <col min="6660" max="6660" width="11.28515625" style="21" customWidth="1"/>
    <col min="6661" max="6661" width="9" style="21" customWidth="1"/>
    <col min="6662" max="6662" width="8.85546875" style="21" customWidth="1"/>
    <col min="6663" max="6663" width="9.7109375" style="21" customWidth="1"/>
    <col min="6664" max="6664" width="9.42578125" style="21" customWidth="1"/>
    <col min="6665" max="6908" width="11.42578125" style="21"/>
    <col min="6909" max="6909" width="18.28515625" style="21" customWidth="1"/>
    <col min="6910" max="6910" width="23.85546875" style="21" customWidth="1"/>
    <col min="6911" max="6911" width="26.5703125" style="21" customWidth="1"/>
    <col min="6912" max="6915" width="11.42578125" style="21"/>
    <col min="6916" max="6916" width="11.28515625" style="21" customWidth="1"/>
    <col min="6917" max="6917" width="9" style="21" customWidth="1"/>
    <col min="6918" max="6918" width="8.85546875" style="21" customWidth="1"/>
    <col min="6919" max="6919" width="9.7109375" style="21" customWidth="1"/>
    <col min="6920" max="6920" width="9.42578125" style="21" customWidth="1"/>
    <col min="6921" max="7164" width="11.42578125" style="21"/>
    <col min="7165" max="7165" width="18.28515625" style="21" customWidth="1"/>
    <col min="7166" max="7166" width="23.85546875" style="21" customWidth="1"/>
    <col min="7167" max="7167" width="26.5703125" style="21" customWidth="1"/>
    <col min="7168" max="7171" width="11.42578125" style="21"/>
    <col min="7172" max="7172" width="11.28515625" style="21" customWidth="1"/>
    <col min="7173" max="7173" width="9" style="21" customWidth="1"/>
    <col min="7174" max="7174" width="8.85546875" style="21" customWidth="1"/>
    <col min="7175" max="7175" width="9.7109375" style="21" customWidth="1"/>
    <col min="7176" max="7176" width="9.42578125" style="21" customWidth="1"/>
    <col min="7177" max="7420" width="11.42578125" style="21"/>
    <col min="7421" max="7421" width="18.28515625" style="21" customWidth="1"/>
    <col min="7422" max="7422" width="23.85546875" style="21" customWidth="1"/>
    <col min="7423" max="7423" width="26.5703125" style="21" customWidth="1"/>
    <col min="7424" max="7427" width="11.42578125" style="21"/>
    <col min="7428" max="7428" width="11.28515625" style="21" customWidth="1"/>
    <col min="7429" max="7429" width="9" style="21" customWidth="1"/>
    <col min="7430" max="7430" width="8.85546875" style="21" customWidth="1"/>
    <col min="7431" max="7431" width="9.7109375" style="21" customWidth="1"/>
    <col min="7432" max="7432" width="9.42578125" style="21" customWidth="1"/>
    <col min="7433" max="7676" width="11.42578125" style="21"/>
    <col min="7677" max="7677" width="18.28515625" style="21" customWidth="1"/>
    <col min="7678" max="7678" width="23.85546875" style="21" customWidth="1"/>
    <col min="7679" max="7679" width="26.5703125" style="21" customWidth="1"/>
    <col min="7680" max="7683" width="11.42578125" style="21"/>
    <col min="7684" max="7684" width="11.28515625" style="21" customWidth="1"/>
    <col min="7685" max="7685" width="9" style="21" customWidth="1"/>
    <col min="7686" max="7686" width="8.85546875" style="21" customWidth="1"/>
    <col min="7687" max="7687" width="9.7109375" style="21" customWidth="1"/>
    <col min="7688" max="7688" width="9.42578125" style="21" customWidth="1"/>
    <col min="7689" max="7932" width="11.42578125" style="21"/>
    <col min="7933" max="7933" width="18.28515625" style="21" customWidth="1"/>
    <col min="7934" max="7934" width="23.85546875" style="21" customWidth="1"/>
    <col min="7935" max="7935" width="26.5703125" style="21" customWidth="1"/>
    <col min="7936" max="7939" width="11.42578125" style="21"/>
    <col min="7940" max="7940" width="11.28515625" style="21" customWidth="1"/>
    <col min="7941" max="7941" width="9" style="21" customWidth="1"/>
    <col min="7942" max="7942" width="8.85546875" style="21" customWidth="1"/>
    <col min="7943" max="7943" width="9.7109375" style="21" customWidth="1"/>
    <col min="7944" max="7944" width="9.42578125" style="21" customWidth="1"/>
    <col min="7945" max="8188" width="11.42578125" style="21"/>
    <col min="8189" max="8189" width="18.28515625" style="21" customWidth="1"/>
    <col min="8190" max="8190" width="23.85546875" style="21" customWidth="1"/>
    <col min="8191" max="8191" width="26.5703125" style="21" customWidth="1"/>
    <col min="8192" max="8195" width="11.42578125" style="21"/>
    <col min="8196" max="8196" width="11.28515625" style="21" customWidth="1"/>
    <col min="8197" max="8197" width="9" style="21" customWidth="1"/>
    <col min="8198" max="8198" width="8.85546875" style="21" customWidth="1"/>
    <col min="8199" max="8199" width="9.7109375" style="21" customWidth="1"/>
    <col min="8200" max="8200" width="9.42578125" style="21" customWidth="1"/>
    <col min="8201" max="8444" width="11.42578125" style="21"/>
    <col min="8445" max="8445" width="18.28515625" style="21" customWidth="1"/>
    <col min="8446" max="8446" width="23.85546875" style="21" customWidth="1"/>
    <col min="8447" max="8447" width="26.5703125" style="21" customWidth="1"/>
    <col min="8448" max="8451" width="11.42578125" style="21"/>
    <col min="8452" max="8452" width="11.28515625" style="21" customWidth="1"/>
    <col min="8453" max="8453" width="9" style="21" customWidth="1"/>
    <col min="8454" max="8454" width="8.85546875" style="21" customWidth="1"/>
    <col min="8455" max="8455" width="9.7109375" style="21" customWidth="1"/>
    <col min="8456" max="8456" width="9.42578125" style="21" customWidth="1"/>
    <col min="8457" max="8700" width="11.42578125" style="21"/>
    <col min="8701" max="8701" width="18.28515625" style="21" customWidth="1"/>
    <col min="8702" max="8702" width="23.85546875" style="21" customWidth="1"/>
    <col min="8703" max="8703" width="26.5703125" style="21" customWidth="1"/>
    <col min="8704" max="8707" width="11.42578125" style="21"/>
    <col min="8708" max="8708" width="11.28515625" style="21" customWidth="1"/>
    <col min="8709" max="8709" width="9" style="21" customWidth="1"/>
    <col min="8710" max="8710" width="8.85546875" style="21" customWidth="1"/>
    <col min="8711" max="8711" width="9.7109375" style="21" customWidth="1"/>
    <col min="8712" max="8712" width="9.42578125" style="21" customWidth="1"/>
    <col min="8713" max="8956" width="11.42578125" style="21"/>
    <col min="8957" max="8957" width="18.28515625" style="21" customWidth="1"/>
    <col min="8958" max="8958" width="23.85546875" style="21" customWidth="1"/>
    <col min="8959" max="8959" width="26.5703125" style="21" customWidth="1"/>
    <col min="8960" max="8963" width="11.42578125" style="21"/>
    <col min="8964" max="8964" width="11.28515625" style="21" customWidth="1"/>
    <col min="8965" max="8965" width="9" style="21" customWidth="1"/>
    <col min="8966" max="8966" width="8.85546875" style="21" customWidth="1"/>
    <col min="8967" max="8967" width="9.7109375" style="21" customWidth="1"/>
    <col min="8968" max="8968" width="9.42578125" style="21" customWidth="1"/>
    <col min="8969" max="9212" width="11.42578125" style="21"/>
    <col min="9213" max="9213" width="18.28515625" style="21" customWidth="1"/>
    <col min="9214" max="9214" width="23.85546875" style="21" customWidth="1"/>
    <col min="9215" max="9215" width="26.5703125" style="21" customWidth="1"/>
    <col min="9216" max="9219" width="11.42578125" style="21"/>
    <col min="9220" max="9220" width="11.28515625" style="21" customWidth="1"/>
    <col min="9221" max="9221" width="9" style="21" customWidth="1"/>
    <col min="9222" max="9222" width="8.85546875" style="21" customWidth="1"/>
    <col min="9223" max="9223" width="9.7109375" style="21" customWidth="1"/>
    <col min="9224" max="9224" width="9.42578125" style="21" customWidth="1"/>
    <col min="9225" max="9468" width="11.42578125" style="21"/>
    <col min="9469" max="9469" width="18.28515625" style="21" customWidth="1"/>
    <col min="9470" max="9470" width="23.85546875" style="21" customWidth="1"/>
    <col min="9471" max="9471" width="26.5703125" style="21" customWidth="1"/>
    <col min="9472" max="9475" width="11.42578125" style="21"/>
    <col min="9476" max="9476" width="11.28515625" style="21" customWidth="1"/>
    <col min="9477" max="9477" width="9" style="21" customWidth="1"/>
    <col min="9478" max="9478" width="8.85546875" style="21" customWidth="1"/>
    <col min="9479" max="9479" width="9.7109375" style="21" customWidth="1"/>
    <col min="9480" max="9480" width="9.42578125" style="21" customWidth="1"/>
    <col min="9481" max="9724" width="11.42578125" style="21"/>
    <col min="9725" max="9725" width="18.28515625" style="21" customWidth="1"/>
    <col min="9726" max="9726" width="23.85546875" style="21" customWidth="1"/>
    <col min="9727" max="9727" width="26.5703125" style="21" customWidth="1"/>
    <col min="9728" max="9731" width="11.42578125" style="21"/>
    <col min="9732" max="9732" width="11.28515625" style="21" customWidth="1"/>
    <col min="9733" max="9733" width="9" style="21" customWidth="1"/>
    <col min="9734" max="9734" width="8.85546875" style="21" customWidth="1"/>
    <col min="9735" max="9735" width="9.7109375" style="21" customWidth="1"/>
    <col min="9736" max="9736" width="9.42578125" style="21" customWidth="1"/>
    <col min="9737" max="9980" width="11.42578125" style="21"/>
    <col min="9981" max="9981" width="18.28515625" style="21" customWidth="1"/>
    <col min="9982" max="9982" width="23.85546875" style="21" customWidth="1"/>
    <col min="9983" max="9983" width="26.5703125" style="21" customWidth="1"/>
    <col min="9984" max="9987" width="11.42578125" style="21"/>
    <col min="9988" max="9988" width="11.28515625" style="21" customWidth="1"/>
    <col min="9989" max="9989" width="9" style="21" customWidth="1"/>
    <col min="9990" max="9990" width="8.85546875" style="21" customWidth="1"/>
    <col min="9991" max="9991" width="9.7109375" style="21" customWidth="1"/>
    <col min="9992" max="9992" width="9.42578125" style="21" customWidth="1"/>
    <col min="9993" max="10236" width="11.42578125" style="21"/>
    <col min="10237" max="10237" width="18.28515625" style="21" customWidth="1"/>
    <col min="10238" max="10238" width="23.85546875" style="21" customWidth="1"/>
    <col min="10239" max="10239" width="26.5703125" style="21" customWidth="1"/>
    <col min="10240" max="10243" width="11.42578125" style="21"/>
    <col min="10244" max="10244" width="11.28515625" style="21" customWidth="1"/>
    <col min="10245" max="10245" width="9" style="21" customWidth="1"/>
    <col min="10246" max="10246" width="8.85546875" style="21" customWidth="1"/>
    <col min="10247" max="10247" width="9.7109375" style="21" customWidth="1"/>
    <col min="10248" max="10248" width="9.42578125" style="21" customWidth="1"/>
    <col min="10249" max="10492" width="11.42578125" style="21"/>
    <col min="10493" max="10493" width="18.28515625" style="21" customWidth="1"/>
    <col min="10494" max="10494" width="23.85546875" style="21" customWidth="1"/>
    <col min="10495" max="10495" width="26.5703125" style="21" customWidth="1"/>
    <col min="10496" max="10499" width="11.42578125" style="21"/>
    <col min="10500" max="10500" width="11.28515625" style="21" customWidth="1"/>
    <col min="10501" max="10501" width="9" style="21" customWidth="1"/>
    <col min="10502" max="10502" width="8.85546875" style="21" customWidth="1"/>
    <col min="10503" max="10503" width="9.7109375" style="21" customWidth="1"/>
    <col min="10504" max="10504" width="9.42578125" style="21" customWidth="1"/>
    <col min="10505" max="10748" width="11.42578125" style="21"/>
    <col min="10749" max="10749" width="18.28515625" style="21" customWidth="1"/>
    <col min="10750" max="10750" width="23.85546875" style="21" customWidth="1"/>
    <col min="10751" max="10751" width="26.5703125" style="21" customWidth="1"/>
    <col min="10752" max="10755" width="11.42578125" style="21"/>
    <col min="10756" max="10756" width="11.28515625" style="21" customWidth="1"/>
    <col min="10757" max="10757" width="9" style="21" customWidth="1"/>
    <col min="10758" max="10758" width="8.85546875" style="21" customWidth="1"/>
    <col min="10759" max="10759" width="9.7109375" style="21" customWidth="1"/>
    <col min="10760" max="10760" width="9.42578125" style="21" customWidth="1"/>
    <col min="10761" max="11004" width="11.42578125" style="21"/>
    <col min="11005" max="11005" width="18.28515625" style="21" customWidth="1"/>
    <col min="11006" max="11006" width="23.85546875" style="21" customWidth="1"/>
    <col min="11007" max="11007" width="26.5703125" style="21" customWidth="1"/>
    <col min="11008" max="11011" width="11.42578125" style="21"/>
    <col min="11012" max="11012" width="11.28515625" style="21" customWidth="1"/>
    <col min="11013" max="11013" width="9" style="21" customWidth="1"/>
    <col min="11014" max="11014" width="8.85546875" style="21" customWidth="1"/>
    <col min="11015" max="11015" width="9.7109375" style="21" customWidth="1"/>
    <col min="11016" max="11016" width="9.42578125" style="21" customWidth="1"/>
    <col min="11017" max="11260" width="11.42578125" style="21"/>
    <col min="11261" max="11261" width="18.28515625" style="21" customWidth="1"/>
    <col min="11262" max="11262" width="23.85546875" style="21" customWidth="1"/>
    <col min="11263" max="11263" width="26.5703125" style="21" customWidth="1"/>
    <col min="11264" max="11267" width="11.42578125" style="21"/>
    <col min="11268" max="11268" width="11.28515625" style="21" customWidth="1"/>
    <col min="11269" max="11269" width="9" style="21" customWidth="1"/>
    <col min="11270" max="11270" width="8.85546875" style="21" customWidth="1"/>
    <col min="11271" max="11271" width="9.7109375" style="21" customWidth="1"/>
    <col min="11272" max="11272" width="9.42578125" style="21" customWidth="1"/>
    <col min="11273" max="11516" width="11.42578125" style="21"/>
    <col min="11517" max="11517" width="18.28515625" style="21" customWidth="1"/>
    <col min="11518" max="11518" width="23.85546875" style="21" customWidth="1"/>
    <col min="11519" max="11519" width="26.5703125" style="21" customWidth="1"/>
    <col min="11520" max="11523" width="11.42578125" style="21"/>
    <col min="11524" max="11524" width="11.28515625" style="21" customWidth="1"/>
    <col min="11525" max="11525" width="9" style="21" customWidth="1"/>
    <col min="11526" max="11526" width="8.85546875" style="21" customWidth="1"/>
    <col min="11527" max="11527" width="9.7109375" style="21" customWidth="1"/>
    <col min="11528" max="11528" width="9.42578125" style="21" customWidth="1"/>
    <col min="11529" max="11772" width="11.42578125" style="21"/>
    <col min="11773" max="11773" width="18.28515625" style="21" customWidth="1"/>
    <col min="11774" max="11774" width="23.85546875" style="21" customWidth="1"/>
    <col min="11775" max="11775" width="26.5703125" style="21" customWidth="1"/>
    <col min="11776" max="11779" width="11.42578125" style="21"/>
    <col min="11780" max="11780" width="11.28515625" style="21" customWidth="1"/>
    <col min="11781" max="11781" width="9" style="21" customWidth="1"/>
    <col min="11782" max="11782" width="8.85546875" style="21" customWidth="1"/>
    <col min="11783" max="11783" width="9.7109375" style="21" customWidth="1"/>
    <col min="11784" max="11784" width="9.42578125" style="21" customWidth="1"/>
    <col min="11785" max="12028" width="11.42578125" style="21"/>
    <col min="12029" max="12029" width="18.28515625" style="21" customWidth="1"/>
    <col min="12030" max="12030" width="23.85546875" style="21" customWidth="1"/>
    <col min="12031" max="12031" width="26.5703125" style="21" customWidth="1"/>
    <col min="12032" max="12035" width="11.42578125" style="21"/>
    <col min="12036" max="12036" width="11.28515625" style="21" customWidth="1"/>
    <col min="12037" max="12037" width="9" style="21" customWidth="1"/>
    <col min="12038" max="12038" width="8.85546875" style="21" customWidth="1"/>
    <col min="12039" max="12039" width="9.7109375" style="21" customWidth="1"/>
    <col min="12040" max="12040" width="9.42578125" style="21" customWidth="1"/>
    <col min="12041" max="12284" width="11.42578125" style="21"/>
    <col min="12285" max="12285" width="18.28515625" style="21" customWidth="1"/>
    <col min="12286" max="12286" width="23.85546875" style="21" customWidth="1"/>
    <col min="12287" max="12287" width="26.5703125" style="21" customWidth="1"/>
    <col min="12288" max="12291" width="11.42578125" style="21"/>
    <col min="12292" max="12292" width="11.28515625" style="21" customWidth="1"/>
    <col min="12293" max="12293" width="9" style="21" customWidth="1"/>
    <col min="12294" max="12294" width="8.85546875" style="21" customWidth="1"/>
    <col min="12295" max="12295" width="9.7109375" style="21" customWidth="1"/>
    <col min="12296" max="12296" width="9.42578125" style="21" customWidth="1"/>
    <col min="12297" max="12540" width="11.42578125" style="21"/>
    <col min="12541" max="12541" width="18.28515625" style="21" customWidth="1"/>
    <col min="12542" max="12542" width="23.85546875" style="21" customWidth="1"/>
    <col min="12543" max="12543" width="26.5703125" style="21" customWidth="1"/>
    <col min="12544" max="12547" width="11.42578125" style="21"/>
    <col min="12548" max="12548" width="11.28515625" style="21" customWidth="1"/>
    <col min="12549" max="12549" width="9" style="21" customWidth="1"/>
    <col min="12550" max="12550" width="8.85546875" style="21" customWidth="1"/>
    <col min="12551" max="12551" width="9.7109375" style="21" customWidth="1"/>
    <col min="12552" max="12552" width="9.42578125" style="21" customWidth="1"/>
    <col min="12553" max="12796" width="11.42578125" style="21"/>
    <col min="12797" max="12797" width="18.28515625" style="21" customWidth="1"/>
    <col min="12798" max="12798" width="23.85546875" style="21" customWidth="1"/>
    <col min="12799" max="12799" width="26.5703125" style="21" customWidth="1"/>
    <col min="12800" max="12803" width="11.42578125" style="21"/>
    <col min="12804" max="12804" width="11.28515625" style="21" customWidth="1"/>
    <col min="12805" max="12805" width="9" style="21" customWidth="1"/>
    <col min="12806" max="12806" width="8.85546875" style="21" customWidth="1"/>
    <col min="12807" max="12807" width="9.7109375" style="21" customWidth="1"/>
    <col min="12808" max="12808" width="9.42578125" style="21" customWidth="1"/>
    <col min="12809" max="13052" width="11.42578125" style="21"/>
    <col min="13053" max="13053" width="18.28515625" style="21" customWidth="1"/>
    <col min="13054" max="13054" width="23.85546875" style="21" customWidth="1"/>
    <col min="13055" max="13055" width="26.5703125" style="21" customWidth="1"/>
    <col min="13056" max="13059" width="11.42578125" style="21"/>
    <col min="13060" max="13060" width="11.28515625" style="21" customWidth="1"/>
    <col min="13061" max="13061" width="9" style="21" customWidth="1"/>
    <col min="13062" max="13062" width="8.85546875" style="21" customWidth="1"/>
    <col min="13063" max="13063" width="9.7109375" style="21" customWidth="1"/>
    <col min="13064" max="13064" width="9.42578125" style="21" customWidth="1"/>
    <col min="13065" max="13308" width="11.42578125" style="21"/>
    <col min="13309" max="13309" width="18.28515625" style="21" customWidth="1"/>
    <col min="13310" max="13310" width="23.85546875" style="21" customWidth="1"/>
    <col min="13311" max="13311" width="26.5703125" style="21" customWidth="1"/>
    <col min="13312" max="13315" width="11.42578125" style="21"/>
    <col min="13316" max="13316" width="11.28515625" style="21" customWidth="1"/>
    <col min="13317" max="13317" width="9" style="21" customWidth="1"/>
    <col min="13318" max="13318" width="8.85546875" style="21" customWidth="1"/>
    <col min="13319" max="13319" width="9.7109375" style="21" customWidth="1"/>
    <col min="13320" max="13320" width="9.42578125" style="21" customWidth="1"/>
    <col min="13321" max="13564" width="11.42578125" style="21"/>
    <col min="13565" max="13565" width="18.28515625" style="21" customWidth="1"/>
    <col min="13566" max="13566" width="23.85546875" style="21" customWidth="1"/>
    <col min="13567" max="13567" width="26.5703125" style="21" customWidth="1"/>
    <col min="13568" max="13571" width="11.42578125" style="21"/>
    <col min="13572" max="13572" width="11.28515625" style="21" customWidth="1"/>
    <col min="13573" max="13573" width="9" style="21" customWidth="1"/>
    <col min="13574" max="13574" width="8.85546875" style="21" customWidth="1"/>
    <col min="13575" max="13575" width="9.7109375" style="21" customWidth="1"/>
    <col min="13576" max="13576" width="9.42578125" style="21" customWidth="1"/>
    <col min="13577" max="13820" width="11.42578125" style="21"/>
    <col min="13821" max="13821" width="18.28515625" style="21" customWidth="1"/>
    <col min="13822" max="13822" width="23.85546875" style="21" customWidth="1"/>
    <col min="13823" max="13823" width="26.5703125" style="21" customWidth="1"/>
    <col min="13824" max="13827" width="11.42578125" style="21"/>
    <col min="13828" max="13828" width="11.28515625" style="21" customWidth="1"/>
    <col min="13829" max="13829" width="9" style="21" customWidth="1"/>
    <col min="13830" max="13830" width="8.85546875" style="21" customWidth="1"/>
    <col min="13831" max="13831" width="9.7109375" style="21" customWidth="1"/>
    <col min="13832" max="13832" width="9.42578125" style="21" customWidth="1"/>
    <col min="13833" max="14076" width="11.42578125" style="21"/>
    <col min="14077" max="14077" width="18.28515625" style="21" customWidth="1"/>
    <col min="14078" max="14078" width="23.85546875" style="21" customWidth="1"/>
    <col min="14079" max="14079" width="26.5703125" style="21" customWidth="1"/>
    <col min="14080" max="14083" width="11.42578125" style="21"/>
    <col min="14084" max="14084" width="11.28515625" style="21" customWidth="1"/>
    <col min="14085" max="14085" width="9" style="21" customWidth="1"/>
    <col min="14086" max="14086" width="8.85546875" style="21" customWidth="1"/>
    <col min="14087" max="14087" width="9.7109375" style="21" customWidth="1"/>
    <col min="14088" max="14088" width="9.42578125" style="21" customWidth="1"/>
    <col min="14089" max="14332" width="11.42578125" style="21"/>
    <col min="14333" max="14333" width="18.28515625" style="21" customWidth="1"/>
    <col min="14334" max="14334" width="23.85546875" style="21" customWidth="1"/>
    <col min="14335" max="14335" width="26.5703125" style="21" customWidth="1"/>
    <col min="14336" max="14339" width="11.42578125" style="21"/>
    <col min="14340" max="14340" width="11.28515625" style="21" customWidth="1"/>
    <col min="14341" max="14341" width="9" style="21" customWidth="1"/>
    <col min="14342" max="14342" width="8.85546875" style="21" customWidth="1"/>
    <col min="14343" max="14343" width="9.7109375" style="21" customWidth="1"/>
    <col min="14344" max="14344" width="9.42578125" style="21" customWidth="1"/>
    <col min="14345" max="14588" width="11.42578125" style="21"/>
    <col min="14589" max="14589" width="18.28515625" style="21" customWidth="1"/>
    <col min="14590" max="14590" width="23.85546875" style="21" customWidth="1"/>
    <col min="14591" max="14591" width="26.5703125" style="21" customWidth="1"/>
    <col min="14592" max="14595" width="11.42578125" style="21"/>
    <col min="14596" max="14596" width="11.28515625" style="21" customWidth="1"/>
    <col min="14597" max="14597" width="9" style="21" customWidth="1"/>
    <col min="14598" max="14598" width="8.85546875" style="21" customWidth="1"/>
    <col min="14599" max="14599" width="9.7109375" style="21" customWidth="1"/>
    <col min="14600" max="14600" width="9.42578125" style="21" customWidth="1"/>
    <col min="14601" max="14844" width="11.42578125" style="21"/>
    <col min="14845" max="14845" width="18.28515625" style="21" customWidth="1"/>
    <col min="14846" max="14846" width="23.85546875" style="21" customWidth="1"/>
    <col min="14847" max="14847" width="26.5703125" style="21" customWidth="1"/>
    <col min="14848" max="14851" width="11.42578125" style="21"/>
    <col min="14852" max="14852" width="11.28515625" style="21" customWidth="1"/>
    <col min="14853" max="14853" width="9" style="21" customWidth="1"/>
    <col min="14854" max="14854" width="8.85546875" style="21" customWidth="1"/>
    <col min="14855" max="14855" width="9.7109375" style="21" customWidth="1"/>
    <col min="14856" max="14856" width="9.42578125" style="21" customWidth="1"/>
    <col min="14857" max="15100" width="11.42578125" style="21"/>
    <col min="15101" max="15101" width="18.28515625" style="21" customWidth="1"/>
    <col min="15102" max="15102" width="23.85546875" style="21" customWidth="1"/>
    <col min="15103" max="15103" width="26.5703125" style="21" customWidth="1"/>
    <col min="15104" max="15107" width="11.42578125" style="21"/>
    <col min="15108" max="15108" width="11.28515625" style="21" customWidth="1"/>
    <col min="15109" max="15109" width="9" style="21" customWidth="1"/>
    <col min="15110" max="15110" width="8.85546875" style="21" customWidth="1"/>
    <col min="15111" max="15111" width="9.7109375" style="21" customWidth="1"/>
    <col min="15112" max="15112" width="9.42578125" style="21" customWidth="1"/>
    <col min="15113" max="15356" width="11.42578125" style="21"/>
    <col min="15357" max="15357" width="18.28515625" style="21" customWidth="1"/>
    <col min="15358" max="15358" width="23.85546875" style="21" customWidth="1"/>
    <col min="15359" max="15359" width="26.5703125" style="21" customWidth="1"/>
    <col min="15360" max="15363" width="11.42578125" style="21"/>
    <col min="15364" max="15364" width="11.28515625" style="21" customWidth="1"/>
    <col min="15365" max="15365" width="9" style="21" customWidth="1"/>
    <col min="15366" max="15366" width="8.85546875" style="21" customWidth="1"/>
    <col min="15367" max="15367" width="9.7109375" style="21" customWidth="1"/>
    <col min="15368" max="15368" width="9.42578125" style="21" customWidth="1"/>
    <col min="15369" max="15612" width="11.42578125" style="21"/>
    <col min="15613" max="15613" width="18.28515625" style="21" customWidth="1"/>
    <col min="15614" max="15614" width="23.85546875" style="21" customWidth="1"/>
    <col min="15615" max="15615" width="26.5703125" style="21" customWidth="1"/>
    <col min="15616" max="15619" width="11.42578125" style="21"/>
    <col min="15620" max="15620" width="11.28515625" style="21" customWidth="1"/>
    <col min="15621" max="15621" width="9" style="21" customWidth="1"/>
    <col min="15622" max="15622" width="8.85546875" style="21" customWidth="1"/>
    <col min="15623" max="15623" width="9.7109375" style="21" customWidth="1"/>
    <col min="15624" max="15624" width="9.42578125" style="21" customWidth="1"/>
    <col min="15625" max="15868" width="11.42578125" style="21"/>
    <col min="15869" max="15869" width="18.28515625" style="21" customWidth="1"/>
    <col min="15870" max="15870" width="23.85546875" style="21" customWidth="1"/>
    <col min="15871" max="15871" width="26.5703125" style="21" customWidth="1"/>
    <col min="15872" max="15875" width="11.42578125" style="21"/>
    <col min="15876" max="15876" width="11.28515625" style="21" customWidth="1"/>
    <col min="15877" max="15877" width="9" style="21" customWidth="1"/>
    <col min="15878" max="15878" width="8.85546875" style="21" customWidth="1"/>
    <col min="15879" max="15879" width="9.7109375" style="21" customWidth="1"/>
    <col min="15880" max="15880" width="9.42578125" style="21" customWidth="1"/>
    <col min="15881" max="16124" width="11.42578125" style="21"/>
    <col min="16125" max="16125" width="18.28515625" style="21" customWidth="1"/>
    <col min="16126" max="16126" width="23.85546875" style="21" customWidth="1"/>
    <col min="16127" max="16127" width="26.5703125" style="21" customWidth="1"/>
    <col min="16128" max="16131" width="11.42578125" style="21"/>
    <col min="16132" max="16132" width="11.28515625" style="21" customWidth="1"/>
    <col min="16133" max="16133" width="9" style="21" customWidth="1"/>
    <col min="16134" max="16134" width="8.85546875" style="21" customWidth="1"/>
    <col min="16135" max="16135" width="9.7109375" style="21" customWidth="1"/>
    <col min="16136" max="16136" width="9.42578125" style="21" customWidth="1"/>
    <col min="16137" max="16384" width="11.42578125" style="21"/>
  </cols>
  <sheetData>
    <row r="1" spans="1:12" ht="117" customHeight="1">
      <c r="A1" s="197"/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9"/>
    </row>
    <row r="2" spans="1:12">
      <c r="A2" s="200" t="s">
        <v>35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</row>
    <row r="3" spans="1:12">
      <c r="A3" s="201" t="s">
        <v>36</v>
      </c>
      <c r="B3" s="201"/>
      <c r="C3" s="201"/>
      <c r="D3" s="201"/>
      <c r="E3" s="201"/>
      <c r="F3" s="201"/>
      <c r="G3" s="201"/>
      <c r="H3" s="201"/>
      <c r="I3" s="201"/>
      <c r="J3" s="201"/>
      <c r="K3" s="201"/>
      <c r="L3" s="201"/>
    </row>
    <row r="4" spans="1:12" ht="15.75">
      <c r="A4" s="202" t="s">
        <v>37</v>
      </c>
      <c r="B4" s="203"/>
      <c r="C4" s="204" t="s">
        <v>38</v>
      </c>
      <c r="D4" s="205"/>
      <c r="E4" s="206"/>
      <c r="F4" s="207" t="s">
        <v>39</v>
      </c>
      <c r="G4" s="208"/>
      <c r="H4" s="209" t="s">
        <v>40</v>
      </c>
      <c r="I4" s="210"/>
      <c r="J4" s="210"/>
      <c r="K4" s="210"/>
      <c r="L4" s="211"/>
    </row>
    <row r="5" spans="1:12" ht="15.75">
      <c r="A5" s="202" t="s">
        <v>41</v>
      </c>
      <c r="B5" s="203"/>
      <c r="C5" s="212" t="s">
        <v>42</v>
      </c>
      <c r="D5" s="213"/>
      <c r="E5" s="214"/>
      <c r="F5" s="207" t="s">
        <v>43</v>
      </c>
      <c r="G5" s="208"/>
      <c r="H5" s="209" t="s">
        <v>44</v>
      </c>
      <c r="I5" s="210"/>
      <c r="J5" s="210"/>
      <c r="K5" s="210"/>
      <c r="L5" s="211"/>
    </row>
    <row r="6" spans="1:12" ht="22.5" customHeight="1">
      <c r="A6" s="215" t="s">
        <v>45</v>
      </c>
      <c r="B6" s="216"/>
      <c r="C6" s="22" t="s">
        <v>46</v>
      </c>
      <c r="D6" s="23" t="s">
        <v>47</v>
      </c>
      <c r="E6" s="219" t="s">
        <v>48</v>
      </c>
      <c r="F6" s="220"/>
      <c r="G6" s="221" t="s">
        <v>49</v>
      </c>
      <c r="H6" s="222"/>
      <c r="I6" s="223" t="s">
        <v>50</v>
      </c>
      <c r="J6" s="224"/>
      <c r="K6" s="225"/>
      <c r="L6" s="226"/>
    </row>
    <row r="7" spans="1:12" ht="32.25" customHeight="1">
      <c r="A7" s="217"/>
      <c r="B7" s="218"/>
      <c r="C7" s="22" t="s">
        <v>51</v>
      </c>
      <c r="D7" s="24"/>
      <c r="E7" s="219" t="s">
        <v>52</v>
      </c>
      <c r="F7" s="220"/>
      <c r="G7" s="225"/>
      <c r="H7" s="226"/>
      <c r="I7" s="223" t="s">
        <v>53</v>
      </c>
      <c r="J7" s="224"/>
      <c r="K7" s="225"/>
      <c r="L7" s="226"/>
    </row>
    <row r="8" spans="1:12" ht="27" customHeight="1">
      <c r="A8" s="328"/>
      <c r="B8" s="328"/>
      <c r="C8" s="328"/>
      <c r="D8" s="328"/>
      <c r="E8" s="328"/>
      <c r="F8" s="328"/>
      <c r="G8" s="328"/>
      <c r="H8" s="328"/>
      <c r="I8" s="328"/>
      <c r="J8" s="328"/>
      <c r="K8" s="328"/>
      <c r="L8" s="329"/>
    </row>
    <row r="9" spans="1:12">
      <c r="A9" s="227" t="s">
        <v>54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9"/>
    </row>
    <row r="10" spans="1:12">
      <c r="A10" s="25"/>
      <c r="B10" s="26"/>
      <c r="C10" s="27"/>
      <c r="D10" s="26"/>
      <c r="E10" s="28"/>
      <c r="F10" s="28"/>
      <c r="G10" s="29"/>
      <c r="H10" s="29"/>
      <c r="I10" s="29"/>
      <c r="J10" s="29"/>
      <c r="K10" s="29"/>
      <c r="L10" s="30"/>
    </row>
    <row r="11" spans="1:12">
      <c r="A11" s="230" t="s">
        <v>55</v>
      </c>
      <c r="B11" s="232" t="s">
        <v>56</v>
      </c>
      <c r="C11" s="234" t="s">
        <v>57</v>
      </c>
      <c r="D11" s="232" t="s">
        <v>58</v>
      </c>
      <c r="E11" s="236" t="s">
        <v>59</v>
      </c>
      <c r="F11" s="236" t="s">
        <v>60</v>
      </c>
      <c r="G11" s="248" t="s">
        <v>61</v>
      </c>
      <c r="H11" s="248"/>
      <c r="I11" s="248"/>
      <c r="J11" s="248"/>
      <c r="K11" s="248"/>
      <c r="L11" s="248"/>
    </row>
    <row r="12" spans="1:12" ht="30.75" customHeight="1">
      <c r="A12" s="231"/>
      <c r="B12" s="233"/>
      <c r="C12" s="235"/>
      <c r="D12" s="233"/>
      <c r="E12" s="237"/>
      <c r="F12" s="237"/>
      <c r="G12" s="31" t="s">
        <v>62</v>
      </c>
      <c r="H12" s="31" t="s">
        <v>63</v>
      </c>
      <c r="I12" s="31" t="s">
        <v>64</v>
      </c>
      <c r="J12" s="31" t="s">
        <v>65</v>
      </c>
      <c r="K12" s="31" t="s">
        <v>66</v>
      </c>
      <c r="L12" s="31" t="s">
        <v>67</v>
      </c>
    </row>
    <row r="13" spans="1:12" ht="15" customHeight="1">
      <c r="A13" s="249" t="s">
        <v>68</v>
      </c>
      <c r="B13" s="252" t="s">
        <v>69</v>
      </c>
      <c r="C13" s="32" t="s">
        <v>70</v>
      </c>
      <c r="D13" s="33" t="s">
        <v>71</v>
      </c>
      <c r="E13" s="34">
        <v>13</v>
      </c>
      <c r="F13" s="35">
        <v>13</v>
      </c>
      <c r="G13" s="35">
        <v>64.87</v>
      </c>
      <c r="H13" s="36">
        <v>3.4190000000000005</v>
      </c>
      <c r="I13" s="36">
        <v>3.4580000000000002</v>
      </c>
      <c r="J13" s="37">
        <v>4.992</v>
      </c>
      <c r="K13" s="37">
        <v>122.2</v>
      </c>
      <c r="L13" s="36">
        <v>6.5000000000000002E-2</v>
      </c>
    </row>
    <row r="14" spans="1:12" ht="15" customHeight="1">
      <c r="A14" s="250"/>
      <c r="B14" s="253"/>
      <c r="C14" s="32" t="s">
        <v>72</v>
      </c>
      <c r="D14" s="33" t="s">
        <v>73</v>
      </c>
      <c r="E14" s="34">
        <v>15</v>
      </c>
      <c r="F14" s="35">
        <v>15</v>
      </c>
      <c r="G14" s="35">
        <v>52.05</v>
      </c>
      <c r="H14" s="36">
        <v>1.32</v>
      </c>
      <c r="I14" s="36">
        <v>0.12</v>
      </c>
      <c r="J14" s="37">
        <v>11.4</v>
      </c>
      <c r="K14" s="37">
        <v>1.05</v>
      </c>
      <c r="L14" s="36">
        <v>0.315</v>
      </c>
    </row>
    <row r="15" spans="1:12" ht="15" customHeight="1">
      <c r="A15" s="251"/>
      <c r="B15" s="254"/>
      <c r="C15" s="32" t="s">
        <v>74</v>
      </c>
      <c r="D15" s="38" t="s">
        <v>75</v>
      </c>
      <c r="E15" s="39">
        <v>10</v>
      </c>
      <c r="F15" s="35">
        <v>10</v>
      </c>
      <c r="G15" s="35">
        <v>39.700000000000003</v>
      </c>
      <c r="H15" s="36">
        <v>0</v>
      </c>
      <c r="I15" s="36">
        <v>0</v>
      </c>
      <c r="J15" s="37">
        <v>9.93</v>
      </c>
      <c r="K15" s="37">
        <v>0</v>
      </c>
      <c r="L15" s="36">
        <v>0.01</v>
      </c>
    </row>
    <row r="16" spans="1:12" ht="15" customHeight="1">
      <c r="A16" s="249" t="s">
        <v>76</v>
      </c>
      <c r="B16" s="231" t="s">
        <v>77</v>
      </c>
      <c r="C16" s="32" t="s">
        <v>78</v>
      </c>
      <c r="D16" s="38" t="s">
        <v>79</v>
      </c>
      <c r="E16" s="39">
        <v>55</v>
      </c>
      <c r="F16" s="35">
        <v>49.5</v>
      </c>
      <c r="G16" s="35">
        <v>73.754999999999995</v>
      </c>
      <c r="H16" s="36">
        <v>6.2369999999999992</v>
      </c>
      <c r="I16" s="36">
        <v>5.3460000000000001</v>
      </c>
      <c r="J16" s="37">
        <v>0.14849999999999999</v>
      </c>
      <c r="K16" s="37">
        <v>26.234999999999999</v>
      </c>
      <c r="L16" s="36">
        <v>0.84149999999999991</v>
      </c>
    </row>
    <row r="17" spans="1:12" ht="15" customHeight="1">
      <c r="A17" s="250"/>
      <c r="B17" s="255"/>
      <c r="C17" s="32" t="s">
        <v>80</v>
      </c>
      <c r="D17" s="38" t="s">
        <v>81</v>
      </c>
      <c r="E17" s="39">
        <v>10</v>
      </c>
      <c r="F17" s="35">
        <v>9.5</v>
      </c>
      <c r="G17" s="35">
        <v>3.8</v>
      </c>
      <c r="H17" s="36">
        <v>0.13299999999999998</v>
      </c>
      <c r="I17" s="36">
        <v>9.5000000000000015E-3</v>
      </c>
      <c r="J17" s="37">
        <v>0.73150000000000004</v>
      </c>
      <c r="K17" s="37">
        <v>2.2799999999999998</v>
      </c>
      <c r="L17" s="36">
        <v>2.8500000000000001E-2</v>
      </c>
    </row>
    <row r="18" spans="1:12" ht="15" customHeight="1">
      <c r="A18" s="250"/>
      <c r="B18" s="255"/>
      <c r="C18" s="32" t="s">
        <v>82</v>
      </c>
      <c r="D18" s="38" t="s">
        <v>83</v>
      </c>
      <c r="E18" s="39">
        <v>10</v>
      </c>
      <c r="F18" s="35">
        <v>8</v>
      </c>
      <c r="G18" s="35">
        <v>1.84</v>
      </c>
      <c r="H18" s="36">
        <v>7.2000000000000008E-2</v>
      </c>
      <c r="I18" s="36">
        <v>8.0000000000000002E-3</v>
      </c>
      <c r="J18" s="37">
        <v>0.32799999999999996</v>
      </c>
      <c r="K18" s="37">
        <v>0.72</v>
      </c>
      <c r="L18" s="36">
        <v>0.04</v>
      </c>
    </row>
    <row r="19" spans="1:12" ht="15" customHeight="1">
      <c r="A19" s="250"/>
      <c r="B19" s="255"/>
      <c r="C19" s="32" t="s">
        <v>84</v>
      </c>
      <c r="D19" s="38" t="s">
        <v>85</v>
      </c>
      <c r="E19" s="39">
        <v>1</v>
      </c>
      <c r="F19" s="35">
        <v>0.95</v>
      </c>
      <c r="G19" s="35">
        <v>1.3679999999999999</v>
      </c>
      <c r="H19" s="36">
        <v>4.4649999999999995E-2</v>
      </c>
      <c r="I19" s="36">
        <v>2.8499999999999997E-3</v>
      </c>
      <c r="J19" s="37">
        <v>0.27834999999999999</v>
      </c>
      <c r="K19" s="37">
        <v>0.38</v>
      </c>
      <c r="L19" s="36">
        <v>1.2349999999999998E-2</v>
      </c>
    </row>
    <row r="20" spans="1:12" ht="15" customHeight="1">
      <c r="A20" s="250"/>
      <c r="B20" s="255"/>
      <c r="C20" s="32" t="s">
        <v>86</v>
      </c>
      <c r="D20" s="38" t="s">
        <v>87</v>
      </c>
      <c r="E20" s="40">
        <v>1</v>
      </c>
      <c r="F20" s="35">
        <v>1</v>
      </c>
      <c r="G20" s="35">
        <v>0</v>
      </c>
      <c r="H20" s="36">
        <v>0</v>
      </c>
      <c r="I20" s="36">
        <v>0</v>
      </c>
      <c r="J20" s="37">
        <v>0</v>
      </c>
      <c r="K20" s="37">
        <v>0.24</v>
      </c>
      <c r="L20" s="36">
        <v>3.0000000000000001E-3</v>
      </c>
    </row>
    <row r="21" spans="1:12" ht="18" customHeight="1">
      <c r="A21" s="251"/>
      <c r="B21" s="256"/>
      <c r="C21" s="32" t="s">
        <v>88</v>
      </c>
      <c r="D21" s="38" t="s">
        <v>89</v>
      </c>
      <c r="E21" s="34">
        <v>5</v>
      </c>
      <c r="F21" s="35">
        <v>5</v>
      </c>
      <c r="G21" s="35">
        <v>45</v>
      </c>
      <c r="H21" s="36">
        <v>0</v>
      </c>
      <c r="I21" s="36">
        <v>5</v>
      </c>
      <c r="J21" s="37">
        <v>0</v>
      </c>
      <c r="K21" s="37">
        <v>0</v>
      </c>
      <c r="L21" s="36">
        <v>0</v>
      </c>
    </row>
    <row r="22" spans="1:12" ht="29.25" customHeight="1">
      <c r="A22" s="41" t="s">
        <v>90</v>
      </c>
      <c r="B22" s="42" t="s">
        <v>91</v>
      </c>
      <c r="C22" s="32" t="s">
        <v>92</v>
      </c>
      <c r="D22" s="38" t="s">
        <v>93</v>
      </c>
      <c r="E22" s="39">
        <v>50</v>
      </c>
      <c r="F22" s="104">
        <v>50</v>
      </c>
      <c r="G22" s="104">
        <v>134</v>
      </c>
      <c r="H22" s="105">
        <v>4.45</v>
      </c>
      <c r="I22" s="105">
        <v>1.7</v>
      </c>
      <c r="J22" s="106">
        <v>24.4</v>
      </c>
      <c r="K22" s="106">
        <v>27</v>
      </c>
      <c r="L22" s="105">
        <v>1.5</v>
      </c>
    </row>
    <row r="23" spans="1:12" ht="24.75" customHeight="1">
      <c r="A23" s="43" t="s">
        <v>94</v>
      </c>
      <c r="B23" s="44" t="s">
        <v>95</v>
      </c>
      <c r="C23" s="32" t="s">
        <v>96</v>
      </c>
      <c r="D23" s="38" t="s">
        <v>97</v>
      </c>
      <c r="E23" s="39">
        <v>100</v>
      </c>
      <c r="F23" s="35">
        <v>70</v>
      </c>
      <c r="G23" s="35">
        <v>70.7</v>
      </c>
      <c r="H23" s="36">
        <v>1.05</v>
      </c>
      <c r="I23" s="36">
        <v>7.0000000000000007E-2</v>
      </c>
      <c r="J23" s="37">
        <v>15.61</v>
      </c>
      <c r="K23" s="37">
        <v>5.6</v>
      </c>
      <c r="L23" s="36">
        <v>0.63</v>
      </c>
    </row>
    <row r="24" spans="1:12">
      <c r="A24" s="281"/>
      <c r="B24" s="281"/>
      <c r="C24" s="281"/>
      <c r="D24" s="281"/>
      <c r="E24" s="281"/>
      <c r="F24" s="281"/>
      <c r="G24" s="281"/>
      <c r="H24" s="281"/>
      <c r="I24" s="281"/>
      <c r="J24" s="281"/>
      <c r="K24" s="281"/>
      <c r="L24" s="281"/>
    </row>
    <row r="25" spans="1:12">
      <c r="A25" s="238" t="s">
        <v>98</v>
      </c>
      <c r="B25" s="238"/>
      <c r="C25" s="238"/>
      <c r="D25" s="238"/>
      <c r="E25" s="238"/>
      <c r="F25" s="238"/>
      <c r="G25" s="45">
        <f>SUM(G13:G23)</f>
        <v>487.08300000000003</v>
      </c>
      <c r="H25" s="45">
        <f>SUM(H10:H23)</f>
        <v>16.725649999999998</v>
      </c>
      <c r="I25" s="45">
        <f>SUM(I10:I23)</f>
        <v>15.714349999999998</v>
      </c>
      <c r="J25" s="45">
        <f>SUM(J10:J23)</f>
        <v>67.818349999999995</v>
      </c>
      <c r="K25" s="45">
        <f>SUM(K10:K23)</f>
        <v>185.70500000000001</v>
      </c>
      <c r="L25" s="45">
        <f>SUM(L10:L23)</f>
        <v>3.4453499999999999</v>
      </c>
    </row>
    <row r="26" spans="1:12">
      <c r="A26" s="238" t="s">
        <v>99</v>
      </c>
      <c r="B26" s="238"/>
      <c r="C26" s="238"/>
      <c r="D26" s="238"/>
      <c r="E26" s="238"/>
      <c r="F26" s="238"/>
      <c r="G26" s="46">
        <v>2245</v>
      </c>
      <c r="H26" s="46">
        <v>78.5</v>
      </c>
      <c r="I26" s="46">
        <v>74.8</v>
      </c>
      <c r="J26" s="46">
        <v>314.3</v>
      </c>
      <c r="K26" s="46">
        <v>1100</v>
      </c>
      <c r="L26" s="46">
        <v>8.6999999999999993</v>
      </c>
    </row>
    <row r="27" spans="1:12">
      <c r="A27" s="238" t="s">
        <v>100</v>
      </c>
      <c r="B27" s="238"/>
      <c r="C27" s="238"/>
      <c r="D27" s="238"/>
      <c r="E27" s="238"/>
      <c r="F27" s="238"/>
      <c r="G27" s="47">
        <f t="shared" ref="G27:L27" si="0">G25/G26</f>
        <v>0.21696347438752786</v>
      </c>
      <c r="H27" s="47">
        <f t="shared" si="0"/>
        <v>0.21306560509554137</v>
      </c>
      <c r="I27" s="48">
        <f t="shared" si="0"/>
        <v>0.21008489304812833</v>
      </c>
      <c r="J27" s="47">
        <f t="shared" si="0"/>
        <v>0.21577585109767736</v>
      </c>
      <c r="K27" s="47">
        <f t="shared" si="0"/>
        <v>0.16882272727272729</v>
      </c>
      <c r="L27" s="47">
        <f t="shared" si="0"/>
        <v>0.39601724137931038</v>
      </c>
    </row>
    <row r="28" spans="1:12" ht="15.75">
      <c r="A28" s="239"/>
      <c r="B28" s="240"/>
      <c r="C28" s="240"/>
      <c r="D28" s="240"/>
      <c r="E28" s="240"/>
      <c r="F28" s="240"/>
      <c r="G28" s="240"/>
      <c r="H28" s="240"/>
      <c r="I28" s="240"/>
      <c r="J28" s="240"/>
      <c r="K28" s="240"/>
      <c r="L28" s="241"/>
    </row>
    <row r="29" spans="1:12" s="49" customFormat="1" ht="19.5" customHeight="1">
      <c r="A29" s="242" t="s">
        <v>101</v>
      </c>
      <c r="B29" s="243"/>
      <c r="C29" s="243"/>
      <c r="D29" s="243"/>
      <c r="E29" s="243"/>
      <c r="F29" s="244"/>
      <c r="G29" s="245" t="s">
        <v>102</v>
      </c>
      <c r="H29" s="246"/>
      <c r="I29" s="246"/>
      <c r="J29" s="246"/>
      <c r="K29" s="246"/>
      <c r="L29" s="247"/>
    </row>
    <row r="30" spans="1:12" s="49" customFormat="1" ht="40.5" customHeight="1">
      <c r="A30" s="50" t="s">
        <v>103</v>
      </c>
      <c r="B30" s="257"/>
      <c r="C30" s="257"/>
      <c r="D30" s="257"/>
      <c r="E30" s="257"/>
      <c r="F30" s="257"/>
      <c r="G30" s="258" t="s">
        <v>104</v>
      </c>
      <c r="H30" s="258"/>
      <c r="I30" s="258"/>
      <c r="J30" s="257" t="s">
        <v>105</v>
      </c>
      <c r="K30" s="257"/>
      <c r="L30" s="257"/>
    </row>
    <row r="31" spans="1:12" s="49" customFormat="1" ht="19.5" customHeight="1">
      <c r="A31" s="259"/>
      <c r="B31" s="260"/>
      <c r="C31" s="260"/>
      <c r="D31" s="260"/>
      <c r="E31" s="260"/>
      <c r="F31" s="260"/>
      <c r="G31" s="260"/>
      <c r="H31" s="260"/>
      <c r="I31" s="260"/>
      <c r="J31" s="260"/>
      <c r="K31" s="260"/>
      <c r="L31" s="261"/>
    </row>
    <row r="32" spans="1:12">
      <c r="A32" s="227" t="s">
        <v>106</v>
      </c>
      <c r="B32" s="228"/>
      <c r="C32" s="228"/>
      <c r="D32" s="228"/>
      <c r="E32" s="228"/>
      <c r="F32" s="228"/>
      <c r="G32" s="228"/>
      <c r="H32" s="228"/>
      <c r="I32" s="228"/>
      <c r="J32" s="228"/>
      <c r="K32" s="228"/>
      <c r="L32" s="229"/>
    </row>
    <row r="33" spans="1:12">
      <c r="A33" s="231" t="s">
        <v>55</v>
      </c>
      <c r="B33" s="233" t="s">
        <v>56</v>
      </c>
      <c r="C33" s="235" t="s">
        <v>57</v>
      </c>
      <c r="D33" s="233" t="s">
        <v>58</v>
      </c>
      <c r="E33" s="237" t="s">
        <v>59</v>
      </c>
      <c r="F33" s="237" t="s">
        <v>60</v>
      </c>
      <c r="G33" s="269" t="s">
        <v>61</v>
      </c>
      <c r="H33" s="270"/>
      <c r="I33" s="270"/>
      <c r="J33" s="270"/>
      <c r="K33" s="270"/>
      <c r="L33" s="271"/>
    </row>
    <row r="34" spans="1:12" ht="30.75" customHeight="1">
      <c r="A34" s="255"/>
      <c r="B34" s="262"/>
      <c r="C34" s="263"/>
      <c r="D34" s="262"/>
      <c r="E34" s="264"/>
      <c r="F34" s="264"/>
      <c r="G34" s="51" t="s">
        <v>62</v>
      </c>
      <c r="H34" s="31" t="s">
        <v>63</v>
      </c>
      <c r="I34" s="31" t="s">
        <v>64</v>
      </c>
      <c r="J34" s="31" t="s">
        <v>65</v>
      </c>
      <c r="K34" s="31" t="s">
        <v>66</v>
      </c>
      <c r="L34" s="31" t="s">
        <v>67</v>
      </c>
    </row>
    <row r="35" spans="1:12" ht="18" customHeight="1">
      <c r="A35" s="265" t="s">
        <v>107</v>
      </c>
      <c r="B35" s="267" t="s">
        <v>108</v>
      </c>
      <c r="C35" s="32" t="s">
        <v>70</v>
      </c>
      <c r="D35" s="38" t="s">
        <v>71</v>
      </c>
      <c r="E35" s="34">
        <v>13</v>
      </c>
      <c r="F35" s="35">
        <v>13</v>
      </c>
      <c r="G35" s="35">
        <v>64.87</v>
      </c>
      <c r="H35" s="36">
        <v>3.4190000000000005</v>
      </c>
      <c r="I35" s="36">
        <v>3.4580000000000002</v>
      </c>
      <c r="J35" s="37">
        <v>4.992</v>
      </c>
      <c r="K35" s="37">
        <v>122.2</v>
      </c>
      <c r="L35" s="36">
        <v>6.5000000000000002E-2</v>
      </c>
    </row>
    <row r="36" spans="1:12" ht="18" customHeight="1">
      <c r="A36" s="272"/>
      <c r="B36" s="273"/>
      <c r="C36" s="32" t="s">
        <v>109</v>
      </c>
      <c r="D36" s="38" t="s">
        <v>110</v>
      </c>
      <c r="E36" s="34">
        <v>14</v>
      </c>
      <c r="F36" s="35">
        <v>14</v>
      </c>
      <c r="G36" s="35">
        <v>50.54</v>
      </c>
      <c r="H36" s="36">
        <v>0.84</v>
      </c>
      <c r="I36" s="36">
        <v>0.19599999999999998</v>
      </c>
      <c r="J36" s="37">
        <v>11.2</v>
      </c>
      <c r="K36" s="37">
        <v>1.1200000000000001</v>
      </c>
      <c r="L36" s="36">
        <v>5.6000000000000008E-2</v>
      </c>
    </row>
    <row r="37" spans="1:12" ht="15" customHeight="1">
      <c r="A37" s="266"/>
      <c r="B37" s="268"/>
      <c r="C37" s="32" t="s">
        <v>74</v>
      </c>
      <c r="D37" s="38" t="s">
        <v>75</v>
      </c>
      <c r="E37" s="39">
        <v>10</v>
      </c>
      <c r="F37" s="35">
        <v>10</v>
      </c>
      <c r="G37" s="35">
        <v>39.700000000000003</v>
      </c>
      <c r="H37" s="36">
        <v>0</v>
      </c>
      <c r="I37" s="36">
        <v>0</v>
      </c>
      <c r="J37" s="37">
        <v>9.93</v>
      </c>
      <c r="K37" s="37">
        <v>0</v>
      </c>
      <c r="L37" s="36">
        <v>0.01</v>
      </c>
    </row>
    <row r="38" spans="1:12" ht="15" customHeight="1">
      <c r="A38" s="265" t="s">
        <v>76</v>
      </c>
      <c r="B38" s="267" t="s">
        <v>111</v>
      </c>
      <c r="C38" s="32" t="s">
        <v>112</v>
      </c>
      <c r="D38" s="38" t="s">
        <v>113</v>
      </c>
      <c r="E38" s="39">
        <v>50</v>
      </c>
      <c r="F38" s="35">
        <v>50</v>
      </c>
      <c r="G38" s="35">
        <v>69.5</v>
      </c>
      <c r="H38" s="36">
        <v>10.9</v>
      </c>
      <c r="I38" s="36">
        <v>2.85</v>
      </c>
      <c r="J38" s="37">
        <v>0</v>
      </c>
      <c r="K38" s="37">
        <v>3</v>
      </c>
      <c r="L38" s="36">
        <v>1.35</v>
      </c>
    </row>
    <row r="39" spans="1:12" ht="15" customHeight="1">
      <c r="A39" s="272"/>
      <c r="B39" s="273"/>
      <c r="C39" s="32" t="s">
        <v>80</v>
      </c>
      <c r="D39" s="38" t="s">
        <v>81</v>
      </c>
      <c r="E39" s="39">
        <v>10</v>
      </c>
      <c r="F39" s="35">
        <v>9.5</v>
      </c>
      <c r="G39" s="35">
        <v>3.8</v>
      </c>
      <c r="H39" s="36">
        <v>0.13299999999999998</v>
      </c>
      <c r="I39" s="36">
        <v>9.5000000000000015E-3</v>
      </c>
      <c r="J39" s="37">
        <v>0.73150000000000004</v>
      </c>
      <c r="K39" s="37">
        <v>2.2799999999999998</v>
      </c>
      <c r="L39" s="36">
        <v>2.8500000000000001E-2</v>
      </c>
    </row>
    <row r="40" spans="1:12" ht="15" customHeight="1">
      <c r="A40" s="272"/>
      <c r="B40" s="273"/>
      <c r="C40" s="32" t="s">
        <v>114</v>
      </c>
      <c r="D40" s="38" t="s">
        <v>115</v>
      </c>
      <c r="E40" s="39">
        <v>10</v>
      </c>
      <c r="F40" s="35">
        <v>4</v>
      </c>
      <c r="G40" s="35">
        <v>1.48</v>
      </c>
      <c r="H40" s="36">
        <v>4.8000000000000001E-2</v>
      </c>
      <c r="I40" s="36">
        <v>4.0000000000000001E-3</v>
      </c>
      <c r="J40" s="37">
        <v>0.27200000000000002</v>
      </c>
      <c r="K40" s="37">
        <v>2.2799999999999998</v>
      </c>
      <c r="L40" s="36">
        <v>0.02</v>
      </c>
    </row>
    <row r="41" spans="1:12" ht="15" customHeight="1">
      <c r="A41" s="272"/>
      <c r="B41" s="273"/>
      <c r="C41" s="32" t="s">
        <v>82</v>
      </c>
      <c r="D41" s="38" t="s">
        <v>83</v>
      </c>
      <c r="E41" s="39">
        <v>10</v>
      </c>
      <c r="F41" s="35">
        <v>8</v>
      </c>
      <c r="G41" s="35">
        <v>1.84</v>
      </c>
      <c r="H41" s="36">
        <v>7.2000000000000008E-2</v>
      </c>
      <c r="I41" s="36">
        <v>8.0000000000000002E-3</v>
      </c>
      <c r="J41" s="37">
        <v>0.32799999999999996</v>
      </c>
      <c r="K41" s="37">
        <v>0.72</v>
      </c>
      <c r="L41" s="36">
        <v>0.04</v>
      </c>
    </row>
    <row r="42" spans="1:12" ht="15" customHeight="1">
      <c r="A42" s="272"/>
      <c r="B42" s="273"/>
      <c r="C42" s="32" t="s">
        <v>116</v>
      </c>
      <c r="D42" s="38" t="s">
        <v>117</v>
      </c>
      <c r="E42" s="39">
        <v>10</v>
      </c>
      <c r="F42" s="35">
        <v>8.5</v>
      </c>
      <c r="G42" s="35">
        <v>2.9750000000000001</v>
      </c>
      <c r="H42" s="36">
        <v>8.5000000000000006E-2</v>
      </c>
      <c r="I42" s="36">
        <v>2.5499999999999998E-2</v>
      </c>
      <c r="J42" s="37">
        <v>0.53549999999999998</v>
      </c>
      <c r="K42" s="37">
        <v>0.59499999999999997</v>
      </c>
      <c r="L42" s="36">
        <v>3.4000000000000002E-2</v>
      </c>
    </row>
    <row r="43" spans="1:12" ht="15" customHeight="1">
      <c r="A43" s="272"/>
      <c r="B43" s="273"/>
      <c r="C43" s="32" t="s">
        <v>84</v>
      </c>
      <c r="D43" s="52" t="s">
        <v>85</v>
      </c>
      <c r="E43" s="34">
        <v>1</v>
      </c>
      <c r="F43" s="35">
        <v>0.95</v>
      </c>
      <c r="G43" s="35">
        <v>1.3679999999999999</v>
      </c>
      <c r="H43" s="36">
        <v>4.4649999999999995E-2</v>
      </c>
      <c r="I43" s="36">
        <v>2.8499999999999997E-3</v>
      </c>
      <c r="J43" s="37">
        <v>0.27834999999999999</v>
      </c>
      <c r="K43" s="37">
        <v>0.38</v>
      </c>
      <c r="L43" s="36">
        <v>1.2349999999999998E-2</v>
      </c>
    </row>
    <row r="44" spans="1:12" ht="15" customHeight="1">
      <c r="A44" s="272"/>
      <c r="B44" s="273"/>
      <c r="C44" s="32" t="s">
        <v>86</v>
      </c>
      <c r="D44" s="38" t="s">
        <v>87</v>
      </c>
      <c r="E44" s="40">
        <v>1</v>
      </c>
      <c r="F44" s="35">
        <v>1</v>
      </c>
      <c r="G44" s="35">
        <v>0</v>
      </c>
      <c r="H44" s="36">
        <v>0</v>
      </c>
      <c r="I44" s="36">
        <v>0</v>
      </c>
      <c r="J44" s="37">
        <v>0</v>
      </c>
      <c r="K44" s="37">
        <v>0.24</v>
      </c>
      <c r="L44" s="36">
        <v>3.0000000000000001E-3</v>
      </c>
    </row>
    <row r="45" spans="1:12" ht="15" customHeight="1">
      <c r="A45" s="266"/>
      <c r="B45" s="268"/>
      <c r="C45" s="32" t="s">
        <v>88</v>
      </c>
      <c r="D45" s="38" t="s">
        <v>89</v>
      </c>
      <c r="E45" s="39">
        <v>7</v>
      </c>
      <c r="F45" s="35">
        <v>7</v>
      </c>
      <c r="G45" s="35">
        <v>63</v>
      </c>
      <c r="H45" s="36">
        <v>0</v>
      </c>
      <c r="I45" s="36">
        <v>7</v>
      </c>
      <c r="J45" s="37">
        <v>0</v>
      </c>
      <c r="K45" s="37">
        <v>0</v>
      </c>
      <c r="L45" s="36">
        <v>0</v>
      </c>
    </row>
    <row r="46" spans="1:12" ht="18" customHeight="1">
      <c r="A46" s="265" t="s">
        <v>90</v>
      </c>
      <c r="B46" s="267" t="s">
        <v>118</v>
      </c>
      <c r="C46" s="32" t="s">
        <v>119</v>
      </c>
      <c r="D46" s="38" t="s">
        <v>120</v>
      </c>
      <c r="E46" s="40">
        <v>50</v>
      </c>
      <c r="F46" s="35">
        <v>50</v>
      </c>
      <c r="G46" s="35">
        <v>190</v>
      </c>
      <c r="H46" s="36">
        <v>4.55</v>
      </c>
      <c r="I46" s="36">
        <v>1.85</v>
      </c>
      <c r="J46" s="37">
        <v>36.950000000000003</v>
      </c>
      <c r="K46" s="37">
        <v>2</v>
      </c>
      <c r="L46" s="36">
        <v>1.35</v>
      </c>
    </row>
    <row r="47" spans="1:12" ht="15.75" customHeight="1">
      <c r="A47" s="266"/>
      <c r="B47" s="268"/>
      <c r="C47" s="32" t="s">
        <v>86</v>
      </c>
      <c r="D47" s="38" t="s">
        <v>87</v>
      </c>
      <c r="E47" s="40">
        <v>1</v>
      </c>
      <c r="F47" s="35">
        <v>1</v>
      </c>
      <c r="G47" s="35">
        <v>0</v>
      </c>
      <c r="H47" s="36">
        <v>0</v>
      </c>
      <c r="I47" s="36">
        <v>0</v>
      </c>
      <c r="J47" s="37">
        <v>0</v>
      </c>
      <c r="K47" s="37">
        <v>0.24</v>
      </c>
      <c r="L47" s="36">
        <v>3.0000000000000001E-3</v>
      </c>
    </row>
    <row r="48" spans="1:12" ht="25.5">
      <c r="A48" s="43" t="s">
        <v>94</v>
      </c>
      <c r="B48" s="53"/>
      <c r="C48" s="54"/>
      <c r="D48" s="55"/>
      <c r="E48" s="56"/>
      <c r="F48" s="57"/>
      <c r="G48" s="57"/>
      <c r="H48" s="58"/>
      <c r="I48" s="58"/>
      <c r="J48" s="59"/>
      <c r="K48" s="59"/>
      <c r="L48" s="58"/>
    </row>
    <row r="49" spans="1:12">
      <c r="A49" s="281"/>
      <c r="B49" s="281"/>
      <c r="C49" s="281"/>
      <c r="D49" s="281"/>
      <c r="E49" s="281"/>
      <c r="F49" s="281"/>
      <c r="G49" s="281"/>
      <c r="H49" s="281"/>
      <c r="I49" s="281"/>
      <c r="J49" s="281"/>
      <c r="K49" s="281"/>
      <c r="L49" s="281"/>
    </row>
    <row r="50" spans="1:12">
      <c r="A50" s="238" t="s">
        <v>98</v>
      </c>
      <c r="B50" s="238"/>
      <c r="C50" s="238"/>
      <c r="D50" s="238"/>
      <c r="E50" s="238"/>
      <c r="F50" s="238"/>
      <c r="G50" s="45">
        <f t="shared" ref="G50:L50" si="1">SUM(G35:G48)</f>
        <v>489.07299999999998</v>
      </c>
      <c r="H50" s="45">
        <f t="shared" si="1"/>
        <v>20.091650000000001</v>
      </c>
      <c r="I50" s="45">
        <f t="shared" si="1"/>
        <v>15.40385</v>
      </c>
      <c r="J50" s="45">
        <f t="shared" si="1"/>
        <v>65.217349999999996</v>
      </c>
      <c r="K50" s="45">
        <f t="shared" si="1"/>
        <v>135.05500000000001</v>
      </c>
      <c r="L50" s="45">
        <f t="shared" si="1"/>
        <v>2.9718500000000003</v>
      </c>
    </row>
    <row r="51" spans="1:12">
      <c r="A51" s="238" t="s">
        <v>99</v>
      </c>
      <c r="B51" s="238"/>
      <c r="C51" s="238"/>
      <c r="D51" s="238"/>
      <c r="E51" s="238"/>
      <c r="F51" s="238"/>
      <c r="G51" s="46">
        <v>2245</v>
      </c>
      <c r="H51" s="46">
        <v>78.5</v>
      </c>
      <c r="I51" s="46">
        <v>74.8</v>
      </c>
      <c r="J51" s="46">
        <v>314.3</v>
      </c>
      <c r="K51" s="46">
        <v>1100</v>
      </c>
      <c r="L51" s="46">
        <v>8.6999999999999993</v>
      </c>
    </row>
    <row r="52" spans="1:12">
      <c r="A52" s="238" t="s">
        <v>100</v>
      </c>
      <c r="B52" s="238"/>
      <c r="C52" s="238"/>
      <c r="D52" s="238"/>
      <c r="E52" s="238"/>
      <c r="F52" s="238"/>
      <c r="G52" s="47">
        <f t="shared" ref="G52:L52" si="2">G50/G51</f>
        <v>0.21784988864142538</v>
      </c>
      <c r="H52" s="47">
        <f t="shared" si="2"/>
        <v>0.25594458598726116</v>
      </c>
      <c r="I52" s="48">
        <f t="shared" si="2"/>
        <v>0.20593382352941178</v>
      </c>
      <c r="J52" s="47">
        <f t="shared" si="2"/>
        <v>0.20750031816735601</v>
      </c>
      <c r="K52" s="47">
        <f t="shared" si="2"/>
        <v>0.12277727272727273</v>
      </c>
      <c r="L52" s="47">
        <f t="shared" si="2"/>
        <v>0.34159195402298859</v>
      </c>
    </row>
    <row r="53" spans="1:12" ht="15.75">
      <c r="A53" s="239"/>
      <c r="B53" s="240"/>
      <c r="C53" s="240"/>
      <c r="D53" s="240"/>
      <c r="E53" s="240"/>
      <c r="F53" s="240"/>
      <c r="G53" s="240"/>
      <c r="H53" s="240"/>
      <c r="I53" s="240"/>
      <c r="J53" s="240"/>
      <c r="K53" s="240"/>
      <c r="L53" s="241"/>
    </row>
    <row r="54" spans="1:12" s="49" customFormat="1" ht="19.5" customHeight="1">
      <c r="A54" s="274" t="s">
        <v>101</v>
      </c>
      <c r="B54" s="275"/>
      <c r="C54" s="275"/>
      <c r="D54" s="275"/>
      <c r="E54" s="275"/>
      <c r="F54" s="276"/>
      <c r="G54" s="245" t="s">
        <v>102</v>
      </c>
      <c r="H54" s="246"/>
      <c r="I54" s="246"/>
      <c r="J54" s="246"/>
      <c r="K54" s="246"/>
      <c r="L54" s="247"/>
    </row>
    <row r="55" spans="1:12" s="49" customFormat="1" ht="45" customHeight="1">
      <c r="A55" s="50" t="s">
        <v>103</v>
      </c>
      <c r="B55" s="257"/>
      <c r="C55" s="257"/>
      <c r="D55" s="257"/>
      <c r="E55" s="257"/>
      <c r="F55" s="257"/>
      <c r="G55" s="258" t="s">
        <v>104</v>
      </c>
      <c r="H55" s="258"/>
      <c r="I55" s="258"/>
      <c r="J55" s="257" t="str">
        <f t="shared" ref="J55" si="3">$J$30</f>
        <v>MND 1192925014</v>
      </c>
      <c r="K55" s="257"/>
      <c r="L55" s="257"/>
    </row>
    <row r="56" spans="1:12" s="49" customFormat="1" ht="19.5" customHeight="1">
      <c r="A56" s="259"/>
      <c r="B56" s="260"/>
      <c r="C56" s="260"/>
      <c r="D56" s="260"/>
      <c r="E56" s="260"/>
      <c r="F56" s="260"/>
      <c r="G56" s="260"/>
      <c r="H56" s="260"/>
      <c r="I56" s="260"/>
      <c r="J56" s="260"/>
      <c r="K56" s="260"/>
      <c r="L56" s="261"/>
    </row>
    <row r="57" spans="1:12">
      <c r="A57" s="227" t="s">
        <v>121</v>
      </c>
      <c r="B57" s="228"/>
      <c r="C57" s="228"/>
      <c r="D57" s="228"/>
      <c r="E57" s="228"/>
      <c r="F57" s="228"/>
      <c r="G57" s="228"/>
      <c r="H57" s="228"/>
      <c r="I57" s="228"/>
      <c r="J57" s="228"/>
      <c r="K57" s="228"/>
      <c r="L57" s="229"/>
    </row>
    <row r="58" spans="1:12">
      <c r="A58" s="231" t="s">
        <v>55</v>
      </c>
      <c r="B58" s="233" t="s">
        <v>56</v>
      </c>
      <c r="C58" s="235" t="s">
        <v>57</v>
      </c>
      <c r="D58" s="233" t="s">
        <v>58</v>
      </c>
      <c r="E58" s="237" t="s">
        <v>59</v>
      </c>
      <c r="F58" s="237" t="s">
        <v>60</v>
      </c>
      <c r="G58" s="269" t="s">
        <v>61</v>
      </c>
      <c r="H58" s="270"/>
      <c r="I58" s="270"/>
      <c r="J58" s="270"/>
      <c r="K58" s="270"/>
      <c r="L58" s="271"/>
    </row>
    <row r="59" spans="1:12" ht="22.5">
      <c r="A59" s="255"/>
      <c r="B59" s="262"/>
      <c r="C59" s="263"/>
      <c r="D59" s="262"/>
      <c r="E59" s="264"/>
      <c r="F59" s="264"/>
      <c r="G59" s="51" t="s">
        <v>62</v>
      </c>
      <c r="H59" s="31" t="s">
        <v>63</v>
      </c>
      <c r="I59" s="31" t="s">
        <v>64</v>
      </c>
      <c r="J59" s="31" t="s">
        <v>65</v>
      </c>
      <c r="K59" s="31" t="s">
        <v>66</v>
      </c>
      <c r="L59" s="31" t="s">
        <v>67</v>
      </c>
    </row>
    <row r="60" spans="1:12" ht="15" customHeight="1">
      <c r="A60" s="265" t="s">
        <v>107</v>
      </c>
      <c r="B60" s="267" t="s">
        <v>122</v>
      </c>
      <c r="C60" s="60" t="s">
        <v>70</v>
      </c>
      <c r="D60" s="38" t="s">
        <v>71</v>
      </c>
      <c r="E60" s="39">
        <v>13</v>
      </c>
      <c r="F60" s="35">
        <v>13</v>
      </c>
      <c r="G60" s="35">
        <v>64.87</v>
      </c>
      <c r="H60" s="36">
        <v>3.4190000000000005</v>
      </c>
      <c r="I60" s="36">
        <v>3.4580000000000002</v>
      </c>
      <c r="J60" s="37">
        <v>4.992</v>
      </c>
      <c r="K60" s="37">
        <v>122.2</v>
      </c>
      <c r="L60" s="36">
        <v>6.5000000000000002E-2</v>
      </c>
    </row>
    <row r="61" spans="1:12" ht="15" customHeight="1">
      <c r="A61" s="272"/>
      <c r="B61" s="273"/>
      <c r="C61" s="60" t="s">
        <v>123</v>
      </c>
      <c r="D61" s="38" t="s">
        <v>124</v>
      </c>
      <c r="E61" s="39">
        <v>13</v>
      </c>
      <c r="F61" s="35">
        <v>13</v>
      </c>
      <c r="G61" s="35">
        <v>53.43</v>
      </c>
      <c r="H61" s="36">
        <v>2.1970000000000001</v>
      </c>
      <c r="I61" s="36">
        <v>0.97499999999999998</v>
      </c>
      <c r="J61" s="37">
        <v>8.3330000000000002</v>
      </c>
      <c r="K61" s="37">
        <v>7.02</v>
      </c>
      <c r="L61" s="36">
        <v>0.58499999999999996</v>
      </c>
    </row>
    <row r="62" spans="1:12" ht="15.75" customHeight="1">
      <c r="A62" s="266"/>
      <c r="B62" s="268"/>
      <c r="C62" s="60" t="s">
        <v>74</v>
      </c>
      <c r="D62" s="38" t="s">
        <v>75</v>
      </c>
      <c r="E62" s="39">
        <v>10</v>
      </c>
      <c r="F62" s="35">
        <v>10</v>
      </c>
      <c r="G62" s="35">
        <v>39.700000000000003</v>
      </c>
      <c r="H62" s="36">
        <v>0</v>
      </c>
      <c r="I62" s="36">
        <v>0</v>
      </c>
      <c r="J62" s="37">
        <v>9.93</v>
      </c>
      <c r="K62" s="37">
        <v>0</v>
      </c>
      <c r="L62" s="36">
        <v>0.01</v>
      </c>
    </row>
    <row r="63" spans="1:12" ht="18.75" customHeight="1">
      <c r="A63" s="265" t="s">
        <v>76</v>
      </c>
      <c r="B63" s="267" t="s">
        <v>125</v>
      </c>
      <c r="C63" s="60" t="s">
        <v>126</v>
      </c>
      <c r="D63" s="38" t="s">
        <v>127</v>
      </c>
      <c r="E63" s="39">
        <v>50</v>
      </c>
      <c r="F63" s="35">
        <v>50</v>
      </c>
      <c r="G63" s="35">
        <v>61</v>
      </c>
      <c r="H63" s="36">
        <v>10.25</v>
      </c>
      <c r="I63" s="36">
        <v>2.25</v>
      </c>
      <c r="J63" s="37">
        <v>0</v>
      </c>
      <c r="K63" s="37">
        <v>17</v>
      </c>
      <c r="L63" s="36">
        <v>0.4</v>
      </c>
    </row>
    <row r="64" spans="1:12" ht="15" customHeight="1">
      <c r="A64" s="272"/>
      <c r="B64" s="273"/>
      <c r="C64" s="60" t="s">
        <v>80</v>
      </c>
      <c r="D64" s="38" t="s">
        <v>81</v>
      </c>
      <c r="E64" s="39">
        <v>10</v>
      </c>
      <c r="F64" s="35">
        <v>9.5</v>
      </c>
      <c r="G64" s="35">
        <v>3.8</v>
      </c>
      <c r="H64" s="36">
        <v>0.13299999999999998</v>
      </c>
      <c r="I64" s="36">
        <v>9.5000000000000015E-3</v>
      </c>
      <c r="J64" s="37">
        <v>0.73150000000000004</v>
      </c>
      <c r="K64" s="37">
        <v>2.2799999999999998</v>
      </c>
      <c r="L64" s="36">
        <v>2.8500000000000001E-2</v>
      </c>
    </row>
    <row r="65" spans="1:12" ht="15" customHeight="1">
      <c r="A65" s="272"/>
      <c r="B65" s="273"/>
      <c r="C65" s="60" t="s">
        <v>114</v>
      </c>
      <c r="D65" s="38" t="s">
        <v>115</v>
      </c>
      <c r="E65" s="39">
        <v>10</v>
      </c>
      <c r="F65" s="35">
        <v>4</v>
      </c>
      <c r="G65" s="35">
        <v>1.48</v>
      </c>
      <c r="H65" s="36">
        <v>4.8000000000000001E-2</v>
      </c>
      <c r="I65" s="36">
        <v>4.0000000000000001E-3</v>
      </c>
      <c r="J65" s="37">
        <v>0.27200000000000002</v>
      </c>
      <c r="K65" s="37">
        <v>2.2799999999999998</v>
      </c>
      <c r="L65" s="36">
        <v>0.02</v>
      </c>
    </row>
    <row r="66" spans="1:12" ht="15" customHeight="1">
      <c r="A66" s="272"/>
      <c r="B66" s="273"/>
      <c r="C66" s="60" t="s">
        <v>116</v>
      </c>
      <c r="D66" s="38" t="s">
        <v>117</v>
      </c>
      <c r="E66" s="39">
        <v>10</v>
      </c>
      <c r="F66" s="35">
        <v>8.5</v>
      </c>
      <c r="G66" s="35">
        <v>2.9750000000000001</v>
      </c>
      <c r="H66" s="36">
        <v>8.5000000000000006E-2</v>
      </c>
      <c r="I66" s="36">
        <v>2.5499999999999998E-2</v>
      </c>
      <c r="J66" s="37">
        <v>0.53549999999999998</v>
      </c>
      <c r="K66" s="37">
        <v>0.59499999999999997</v>
      </c>
      <c r="L66" s="36">
        <v>3.4000000000000002E-2</v>
      </c>
    </row>
    <row r="67" spans="1:12" ht="15" customHeight="1">
      <c r="A67" s="272"/>
      <c r="B67" s="273"/>
      <c r="C67" s="60" t="s">
        <v>84</v>
      </c>
      <c r="D67" s="52" t="s">
        <v>85</v>
      </c>
      <c r="E67" s="34">
        <v>1</v>
      </c>
      <c r="F67" s="35">
        <v>0.95</v>
      </c>
      <c r="G67" s="35">
        <v>1.3679999999999999</v>
      </c>
      <c r="H67" s="36">
        <v>4.4649999999999995E-2</v>
      </c>
      <c r="I67" s="36">
        <v>2.8499999999999997E-3</v>
      </c>
      <c r="J67" s="37">
        <v>0.27834999999999999</v>
      </c>
      <c r="K67" s="37">
        <v>0.38</v>
      </c>
      <c r="L67" s="36">
        <v>1.2349999999999998E-2</v>
      </c>
    </row>
    <row r="68" spans="1:12" ht="15" customHeight="1">
      <c r="A68" s="272"/>
      <c r="B68" s="273"/>
      <c r="C68" s="60" t="s">
        <v>86</v>
      </c>
      <c r="D68" s="38" t="s">
        <v>87</v>
      </c>
      <c r="E68" s="40">
        <v>1</v>
      </c>
      <c r="F68" s="35">
        <v>1</v>
      </c>
      <c r="G68" s="35">
        <v>0</v>
      </c>
      <c r="H68" s="36">
        <v>0</v>
      </c>
      <c r="I68" s="36">
        <v>0</v>
      </c>
      <c r="J68" s="37">
        <v>0</v>
      </c>
      <c r="K68" s="37">
        <v>0.24</v>
      </c>
      <c r="L68" s="36">
        <v>3.0000000000000001E-3</v>
      </c>
    </row>
    <row r="69" spans="1:12" ht="15" customHeight="1">
      <c r="A69" s="272"/>
      <c r="B69" s="273"/>
      <c r="C69" s="60" t="s">
        <v>128</v>
      </c>
      <c r="D69" s="38" t="s">
        <v>129</v>
      </c>
      <c r="E69" s="40">
        <v>1</v>
      </c>
      <c r="F69" s="35">
        <v>1</v>
      </c>
      <c r="G69" s="35">
        <v>3.92</v>
      </c>
      <c r="H69" s="36">
        <v>4.4000000000000004E-2</v>
      </c>
      <c r="I69" s="36">
        <v>5.2999999999999999E-2</v>
      </c>
      <c r="J69" s="37">
        <v>0.81799999999999995</v>
      </c>
      <c r="K69" s="37">
        <v>0.11</v>
      </c>
      <c r="L69" s="36">
        <v>1.3999999999999999E-2</v>
      </c>
    </row>
    <row r="70" spans="1:12" ht="15.75" customHeight="1">
      <c r="A70" s="266"/>
      <c r="B70" s="268"/>
      <c r="C70" s="60" t="s">
        <v>88</v>
      </c>
      <c r="D70" s="38" t="s">
        <v>89</v>
      </c>
      <c r="E70" s="39">
        <v>8</v>
      </c>
      <c r="F70" s="35">
        <v>8</v>
      </c>
      <c r="G70" s="35">
        <v>72</v>
      </c>
      <c r="H70" s="36">
        <v>0</v>
      </c>
      <c r="I70" s="36">
        <v>8</v>
      </c>
      <c r="J70" s="37">
        <v>0</v>
      </c>
      <c r="K70" s="37">
        <v>0</v>
      </c>
      <c r="L70" s="36">
        <v>0</v>
      </c>
    </row>
    <row r="71" spans="1:12" ht="18" customHeight="1">
      <c r="A71" s="265" t="s">
        <v>90</v>
      </c>
      <c r="B71" s="267" t="s">
        <v>130</v>
      </c>
      <c r="C71" s="60" t="s">
        <v>131</v>
      </c>
      <c r="D71" s="38" t="s">
        <v>132</v>
      </c>
      <c r="E71" s="39">
        <v>200</v>
      </c>
      <c r="F71" s="35">
        <v>120</v>
      </c>
      <c r="G71" s="35">
        <v>153.6</v>
      </c>
      <c r="H71" s="36">
        <v>1.56</v>
      </c>
      <c r="I71" s="36">
        <v>0.12</v>
      </c>
      <c r="J71" s="37">
        <v>36.36</v>
      </c>
      <c r="K71" s="37">
        <v>4.8</v>
      </c>
      <c r="L71" s="36">
        <v>0.84</v>
      </c>
    </row>
    <row r="72" spans="1:12" ht="15" customHeight="1">
      <c r="A72" s="266"/>
      <c r="B72" s="268"/>
      <c r="C72" s="60" t="s">
        <v>86</v>
      </c>
      <c r="D72" s="38" t="s">
        <v>87</v>
      </c>
      <c r="E72" s="40">
        <v>1</v>
      </c>
      <c r="F72" s="35">
        <v>1</v>
      </c>
      <c r="G72" s="35">
        <v>0</v>
      </c>
      <c r="H72" s="36">
        <v>0</v>
      </c>
      <c r="I72" s="36">
        <v>0</v>
      </c>
      <c r="J72" s="37">
        <v>0</v>
      </c>
      <c r="K72" s="37">
        <v>0.24</v>
      </c>
      <c r="L72" s="36">
        <v>3.0000000000000001E-3</v>
      </c>
    </row>
    <row r="73" spans="1:12" ht="25.5">
      <c r="A73" s="43" t="s">
        <v>94</v>
      </c>
      <c r="B73" s="53"/>
      <c r="C73" s="61"/>
      <c r="D73" s="55"/>
      <c r="E73" s="56"/>
      <c r="F73" s="57"/>
      <c r="G73" s="57"/>
      <c r="H73" s="58"/>
      <c r="I73" s="58"/>
      <c r="J73" s="59"/>
      <c r="K73" s="59"/>
      <c r="L73" s="58"/>
    </row>
    <row r="74" spans="1:12">
      <c r="A74" s="281"/>
      <c r="B74" s="281"/>
      <c r="C74" s="281"/>
      <c r="D74" s="281"/>
      <c r="E74" s="281"/>
      <c r="F74" s="281"/>
      <c r="G74" s="281"/>
      <c r="H74" s="281"/>
      <c r="I74" s="281"/>
      <c r="J74" s="281"/>
      <c r="K74" s="281"/>
      <c r="L74" s="281"/>
    </row>
    <row r="75" spans="1:12" ht="15.75">
      <c r="A75" s="277" t="s">
        <v>98</v>
      </c>
      <c r="B75" s="278"/>
      <c r="C75" s="278"/>
      <c r="D75" s="278"/>
      <c r="E75" s="278"/>
      <c r="F75" s="279"/>
      <c r="G75" s="45">
        <f>SUM(G60:G73)</f>
        <v>458.14300000000003</v>
      </c>
      <c r="H75" s="45">
        <f>SUM(H60:H73)</f>
        <v>17.780649999999998</v>
      </c>
      <c r="I75" s="45">
        <f>SUM(I60:I73)</f>
        <v>14.897849999999998</v>
      </c>
      <c r="J75" s="45">
        <f>SUM(J60:J73)</f>
        <v>62.250349999999997</v>
      </c>
      <c r="K75" s="45">
        <f>SUM(K60:K73)</f>
        <v>157.14500000000004</v>
      </c>
      <c r="L75" s="45">
        <f>SUM(L62:L73)</f>
        <v>1.3648499999999999</v>
      </c>
    </row>
    <row r="76" spans="1:12" ht="15.75">
      <c r="A76" s="277" t="s">
        <v>99</v>
      </c>
      <c r="B76" s="278"/>
      <c r="C76" s="278"/>
      <c r="D76" s="278"/>
      <c r="E76" s="278"/>
      <c r="F76" s="279"/>
      <c r="G76" s="46">
        <v>2245</v>
      </c>
      <c r="H76" s="46">
        <v>78.5</v>
      </c>
      <c r="I76" s="46">
        <v>74.8</v>
      </c>
      <c r="J76" s="46">
        <v>314.3</v>
      </c>
      <c r="K76" s="46">
        <v>1100</v>
      </c>
      <c r="L76" s="46">
        <v>8.6999999999999993</v>
      </c>
    </row>
    <row r="77" spans="1:12" ht="15.75">
      <c r="A77" s="277" t="s">
        <v>100</v>
      </c>
      <c r="B77" s="278"/>
      <c r="C77" s="278"/>
      <c r="D77" s="278"/>
      <c r="E77" s="278"/>
      <c r="F77" s="279"/>
      <c r="G77" s="47">
        <f t="shared" ref="G77:L77" si="4">G75/G76</f>
        <v>0.2040726057906459</v>
      </c>
      <c r="H77" s="47">
        <f t="shared" si="4"/>
        <v>0.22650509554140125</v>
      </c>
      <c r="I77" s="48">
        <f t="shared" si="4"/>
        <v>0.1991691176470588</v>
      </c>
      <c r="J77" s="47">
        <f t="shared" si="4"/>
        <v>0.19806029271396752</v>
      </c>
      <c r="K77" s="47">
        <f t="shared" si="4"/>
        <v>0.14285909090909094</v>
      </c>
      <c r="L77" s="47">
        <f t="shared" si="4"/>
        <v>0.15687931034482758</v>
      </c>
    </row>
    <row r="78" spans="1:12">
      <c r="A78" s="280"/>
      <c r="B78" s="281"/>
      <c r="C78" s="281"/>
      <c r="D78" s="281"/>
      <c r="E78" s="281"/>
      <c r="F78" s="281"/>
      <c r="G78" s="281"/>
      <c r="H78" s="281"/>
      <c r="I78" s="281"/>
      <c r="J78" s="281"/>
      <c r="K78" s="281"/>
      <c r="L78" s="282"/>
    </row>
    <row r="79" spans="1:12" s="49" customFormat="1" ht="19.5" customHeight="1">
      <c r="A79" s="259" t="s">
        <v>101</v>
      </c>
      <c r="B79" s="260"/>
      <c r="C79" s="260"/>
      <c r="D79" s="260"/>
      <c r="E79" s="260"/>
      <c r="F79" s="261"/>
      <c r="G79" s="245" t="s">
        <v>102</v>
      </c>
      <c r="H79" s="246"/>
      <c r="I79" s="246"/>
      <c r="J79" s="246"/>
      <c r="K79" s="246"/>
      <c r="L79" s="247"/>
    </row>
    <row r="80" spans="1:12" s="49" customFormat="1" ht="34.5" customHeight="1">
      <c r="A80" s="50" t="s">
        <v>103</v>
      </c>
      <c r="B80" s="257"/>
      <c r="C80" s="257"/>
      <c r="D80" s="257"/>
      <c r="E80" s="257"/>
      <c r="F80" s="257"/>
      <c r="G80" s="283" t="s">
        <v>104</v>
      </c>
      <c r="H80" s="283"/>
      <c r="I80" s="283"/>
      <c r="J80" s="257" t="str">
        <f t="shared" ref="J80" si="5">$J$30</f>
        <v>MND 1192925014</v>
      </c>
      <c r="K80" s="257"/>
      <c r="L80" s="257"/>
    </row>
    <row r="81" spans="1:12" s="49" customFormat="1" ht="19.5" customHeight="1">
      <c r="A81" s="284"/>
      <c r="B81" s="284"/>
      <c r="C81" s="284"/>
      <c r="D81" s="284"/>
      <c r="E81" s="284"/>
      <c r="F81" s="284"/>
      <c r="G81" s="284"/>
      <c r="H81" s="284"/>
      <c r="I81" s="284"/>
      <c r="J81" s="284"/>
      <c r="K81" s="284"/>
      <c r="L81" s="284"/>
    </row>
    <row r="82" spans="1:12">
      <c r="A82" s="227" t="s">
        <v>133</v>
      </c>
      <c r="B82" s="228"/>
      <c r="C82" s="228"/>
      <c r="D82" s="228"/>
      <c r="E82" s="228"/>
      <c r="F82" s="228"/>
      <c r="G82" s="228"/>
      <c r="H82" s="228"/>
      <c r="I82" s="228"/>
      <c r="J82" s="228"/>
      <c r="K82" s="228"/>
      <c r="L82" s="229"/>
    </row>
    <row r="83" spans="1:12">
      <c r="A83" s="231" t="s">
        <v>55</v>
      </c>
      <c r="B83" s="233" t="s">
        <v>56</v>
      </c>
      <c r="C83" s="235" t="s">
        <v>57</v>
      </c>
      <c r="D83" s="233" t="s">
        <v>58</v>
      </c>
      <c r="E83" s="237" t="s">
        <v>59</v>
      </c>
      <c r="F83" s="237" t="s">
        <v>60</v>
      </c>
      <c r="G83" s="269" t="s">
        <v>61</v>
      </c>
      <c r="H83" s="270"/>
      <c r="I83" s="270"/>
      <c r="J83" s="270"/>
      <c r="K83" s="270"/>
      <c r="L83" s="271"/>
    </row>
    <row r="84" spans="1:12" ht="22.5">
      <c r="A84" s="255"/>
      <c r="B84" s="262"/>
      <c r="C84" s="263"/>
      <c r="D84" s="262"/>
      <c r="E84" s="264"/>
      <c r="F84" s="264"/>
      <c r="G84" s="51" t="s">
        <v>62</v>
      </c>
      <c r="H84" s="31" t="s">
        <v>63</v>
      </c>
      <c r="I84" s="31" t="s">
        <v>64</v>
      </c>
      <c r="J84" s="31" t="s">
        <v>65</v>
      </c>
      <c r="K84" s="31" t="s">
        <v>66</v>
      </c>
      <c r="L84" s="31" t="s">
        <v>67</v>
      </c>
    </row>
    <row r="85" spans="1:12" ht="15" customHeight="1">
      <c r="A85" s="265" t="s">
        <v>107</v>
      </c>
      <c r="B85" s="267" t="s">
        <v>134</v>
      </c>
      <c r="C85" s="60" t="s">
        <v>135</v>
      </c>
      <c r="D85" s="38" t="s">
        <v>136</v>
      </c>
      <c r="E85" s="39">
        <v>50</v>
      </c>
      <c r="F85" s="35">
        <v>25</v>
      </c>
      <c r="G85" s="35">
        <v>11</v>
      </c>
      <c r="H85" s="36">
        <v>7.4999999999999997E-2</v>
      </c>
      <c r="I85" s="36">
        <v>7.4999999999999997E-2</v>
      </c>
      <c r="J85" s="37">
        <v>2.3250000000000002</v>
      </c>
      <c r="K85" s="37">
        <v>4.75</v>
      </c>
      <c r="L85" s="36">
        <v>0.125</v>
      </c>
    </row>
    <row r="86" spans="1:12" ht="15" customHeight="1">
      <c r="A86" s="266"/>
      <c r="B86" s="268"/>
      <c r="C86" s="60" t="s">
        <v>137</v>
      </c>
      <c r="D86" s="38" t="s">
        <v>138</v>
      </c>
      <c r="E86" s="39">
        <v>12</v>
      </c>
      <c r="F86" s="35">
        <v>12</v>
      </c>
      <c r="G86" s="35">
        <v>43.68</v>
      </c>
      <c r="H86" s="36">
        <v>0.06</v>
      </c>
      <c r="I86" s="36">
        <v>1.2000000000000002E-2</v>
      </c>
      <c r="J86" s="37">
        <v>10.824000000000002</v>
      </c>
      <c r="K86" s="37">
        <v>5.04</v>
      </c>
      <c r="L86" s="36">
        <v>0.58800000000000008</v>
      </c>
    </row>
    <row r="87" spans="1:12" ht="18.75" customHeight="1">
      <c r="A87" s="265" t="s">
        <v>76</v>
      </c>
      <c r="B87" s="267" t="s">
        <v>139</v>
      </c>
      <c r="C87" s="60" t="s">
        <v>140</v>
      </c>
      <c r="D87" s="38" t="s">
        <v>141</v>
      </c>
      <c r="E87" s="39">
        <v>50</v>
      </c>
      <c r="F87" s="35">
        <v>50</v>
      </c>
      <c r="G87" s="35">
        <v>193.5</v>
      </c>
      <c r="H87" s="36">
        <v>11.55</v>
      </c>
      <c r="I87" s="36">
        <v>0.45</v>
      </c>
      <c r="J87" s="37">
        <v>30.5</v>
      </c>
      <c r="K87" s="37">
        <v>25.5</v>
      </c>
      <c r="L87" s="36">
        <v>3.6</v>
      </c>
    </row>
    <row r="88" spans="1:12" ht="15" customHeight="1">
      <c r="A88" s="272"/>
      <c r="B88" s="273"/>
      <c r="C88" s="60" t="s">
        <v>80</v>
      </c>
      <c r="D88" s="38" t="s">
        <v>81</v>
      </c>
      <c r="E88" s="39">
        <v>10</v>
      </c>
      <c r="F88" s="35">
        <v>9.5</v>
      </c>
      <c r="G88" s="35">
        <v>3.8</v>
      </c>
      <c r="H88" s="36">
        <v>0.13299999999999998</v>
      </c>
      <c r="I88" s="36">
        <v>9.5000000000000015E-3</v>
      </c>
      <c r="J88" s="37">
        <v>0.73150000000000004</v>
      </c>
      <c r="K88" s="37">
        <v>2.2799999999999998</v>
      </c>
      <c r="L88" s="36">
        <v>2.8500000000000001E-2</v>
      </c>
    </row>
    <row r="89" spans="1:12" ht="15" customHeight="1">
      <c r="A89" s="272"/>
      <c r="B89" s="273"/>
      <c r="C89" s="60" t="s">
        <v>114</v>
      </c>
      <c r="D89" s="38" t="s">
        <v>115</v>
      </c>
      <c r="E89" s="39">
        <v>10</v>
      </c>
      <c r="F89" s="35">
        <v>4</v>
      </c>
      <c r="G89" s="35">
        <v>1.48</v>
      </c>
      <c r="H89" s="36">
        <v>4.8000000000000001E-2</v>
      </c>
      <c r="I89" s="36">
        <v>4.0000000000000001E-3</v>
      </c>
      <c r="J89" s="37">
        <v>0.27200000000000002</v>
      </c>
      <c r="K89" s="37">
        <v>2.2799999999999998</v>
      </c>
      <c r="L89" s="36">
        <v>0.02</v>
      </c>
    </row>
    <row r="90" spans="1:12" ht="15" customHeight="1">
      <c r="A90" s="272"/>
      <c r="B90" s="273"/>
      <c r="C90" s="60" t="s">
        <v>142</v>
      </c>
      <c r="D90" s="38" t="s">
        <v>143</v>
      </c>
      <c r="E90" s="39">
        <v>10</v>
      </c>
      <c r="F90" s="35">
        <v>8.5</v>
      </c>
      <c r="G90" s="35">
        <v>3.9950000000000001</v>
      </c>
      <c r="H90" s="36">
        <v>5.949999999999999E-2</v>
      </c>
      <c r="I90" s="36">
        <v>8.5000000000000006E-3</v>
      </c>
      <c r="J90" s="37">
        <v>0.8075</v>
      </c>
      <c r="K90" s="37">
        <v>2.2949999999999999</v>
      </c>
      <c r="L90" s="36">
        <v>3.4000000000000002E-2</v>
      </c>
    </row>
    <row r="91" spans="1:12" ht="15" customHeight="1">
      <c r="A91" s="272"/>
      <c r="B91" s="273"/>
      <c r="C91" s="60" t="s">
        <v>116</v>
      </c>
      <c r="D91" s="38" t="s">
        <v>117</v>
      </c>
      <c r="E91" s="39">
        <v>5</v>
      </c>
      <c r="F91" s="35">
        <v>4.25</v>
      </c>
      <c r="G91" s="35">
        <v>1.4875</v>
      </c>
      <c r="H91" s="36">
        <v>4.2500000000000003E-2</v>
      </c>
      <c r="I91" s="36">
        <v>1.2749999999999999E-2</v>
      </c>
      <c r="J91" s="37">
        <v>0.26774999999999999</v>
      </c>
      <c r="K91" s="37">
        <v>0.29749999999999999</v>
      </c>
      <c r="L91" s="36">
        <v>1.7000000000000001E-2</v>
      </c>
    </row>
    <row r="92" spans="1:12" ht="15" customHeight="1">
      <c r="A92" s="272"/>
      <c r="B92" s="273"/>
      <c r="C92" s="60" t="s">
        <v>84</v>
      </c>
      <c r="D92" s="52" t="s">
        <v>85</v>
      </c>
      <c r="E92" s="34">
        <v>1</v>
      </c>
      <c r="F92" s="35">
        <v>0.95</v>
      </c>
      <c r="G92" s="35">
        <v>1.3679999999999999</v>
      </c>
      <c r="H92" s="36">
        <v>4.4649999999999995E-2</v>
      </c>
      <c r="I92" s="36">
        <v>2.8499999999999997E-3</v>
      </c>
      <c r="J92" s="37">
        <v>0.27834999999999999</v>
      </c>
      <c r="K92" s="37">
        <v>0.38</v>
      </c>
      <c r="L92" s="36">
        <v>1.2349999999999998E-2</v>
      </c>
    </row>
    <row r="93" spans="1:12" ht="15" customHeight="1">
      <c r="A93" s="272"/>
      <c r="B93" s="273"/>
      <c r="C93" s="60" t="s">
        <v>88</v>
      </c>
      <c r="D93" s="52" t="s">
        <v>89</v>
      </c>
      <c r="E93" s="34">
        <v>5</v>
      </c>
      <c r="F93" s="35">
        <v>5</v>
      </c>
      <c r="G93" s="35">
        <v>45</v>
      </c>
      <c r="H93" s="36">
        <v>0</v>
      </c>
      <c r="I93" s="36">
        <v>5</v>
      </c>
      <c r="J93" s="37">
        <v>0</v>
      </c>
      <c r="K93" s="37">
        <v>0</v>
      </c>
      <c r="L93" s="36">
        <v>0</v>
      </c>
    </row>
    <row r="94" spans="1:12" ht="15" customHeight="1">
      <c r="A94" s="266"/>
      <c r="B94" s="268"/>
      <c r="C94" s="60" t="s">
        <v>86</v>
      </c>
      <c r="D94" s="38" t="s">
        <v>87</v>
      </c>
      <c r="E94" s="40">
        <v>0.5</v>
      </c>
      <c r="F94" s="35">
        <v>0.5</v>
      </c>
      <c r="G94" s="35">
        <v>0</v>
      </c>
      <c r="H94" s="36">
        <v>0</v>
      </c>
      <c r="I94" s="36">
        <v>0</v>
      </c>
      <c r="J94" s="37">
        <v>0</v>
      </c>
      <c r="K94" s="37">
        <v>0.12</v>
      </c>
      <c r="L94" s="36">
        <v>1.5E-3</v>
      </c>
    </row>
    <row r="95" spans="1:12" ht="12" customHeight="1">
      <c r="A95" s="265" t="s">
        <v>90</v>
      </c>
      <c r="B95" s="286" t="s">
        <v>144</v>
      </c>
      <c r="C95" s="60" t="s">
        <v>145</v>
      </c>
      <c r="D95" s="38" t="s">
        <v>146</v>
      </c>
      <c r="E95" s="39">
        <v>50</v>
      </c>
      <c r="F95" s="35">
        <v>50</v>
      </c>
      <c r="G95" s="35">
        <v>176.5</v>
      </c>
      <c r="H95" s="36">
        <v>3.35</v>
      </c>
      <c r="I95" s="36">
        <v>0.2</v>
      </c>
      <c r="J95" s="37">
        <v>40.049999999999997</v>
      </c>
      <c r="K95" s="37">
        <v>4.5</v>
      </c>
      <c r="L95" s="36">
        <v>0.4</v>
      </c>
    </row>
    <row r="96" spans="1:12" ht="15" customHeight="1">
      <c r="A96" s="272"/>
      <c r="B96" s="287"/>
      <c r="C96" s="60" t="s">
        <v>114</v>
      </c>
      <c r="D96" s="38" t="s">
        <v>115</v>
      </c>
      <c r="E96" s="39">
        <v>5</v>
      </c>
      <c r="F96" s="35">
        <v>2</v>
      </c>
      <c r="G96" s="35">
        <v>0.74</v>
      </c>
      <c r="H96" s="36">
        <v>2.4E-2</v>
      </c>
      <c r="I96" s="36">
        <v>2E-3</v>
      </c>
      <c r="J96" s="37">
        <v>0.13600000000000001</v>
      </c>
      <c r="K96" s="37">
        <v>1.1399999999999999</v>
      </c>
      <c r="L96" s="36">
        <v>0.01</v>
      </c>
    </row>
    <row r="97" spans="1:12" ht="13.5" customHeight="1">
      <c r="A97" s="272"/>
      <c r="B97" s="287"/>
      <c r="C97" s="60" t="s">
        <v>86</v>
      </c>
      <c r="D97" s="38" t="s">
        <v>87</v>
      </c>
      <c r="E97" s="40">
        <v>1</v>
      </c>
      <c r="F97" s="35">
        <v>1</v>
      </c>
      <c r="G97" s="35">
        <v>0</v>
      </c>
      <c r="H97" s="36">
        <v>0</v>
      </c>
      <c r="I97" s="36">
        <v>0</v>
      </c>
      <c r="J97" s="37">
        <v>0</v>
      </c>
      <c r="K97" s="37">
        <v>0.24</v>
      </c>
      <c r="L97" s="36">
        <v>3.0000000000000001E-3</v>
      </c>
    </row>
    <row r="98" spans="1:12" ht="17.25" customHeight="1">
      <c r="A98" s="272"/>
      <c r="B98" s="288"/>
      <c r="C98" s="60" t="s">
        <v>88</v>
      </c>
      <c r="D98" s="38" t="s">
        <v>89</v>
      </c>
      <c r="E98" s="39">
        <v>5</v>
      </c>
      <c r="F98" s="35">
        <v>5</v>
      </c>
      <c r="G98" s="35">
        <v>45</v>
      </c>
      <c r="H98" s="36">
        <v>0</v>
      </c>
      <c r="I98" s="36">
        <v>5</v>
      </c>
      <c r="J98" s="37">
        <v>0</v>
      </c>
      <c r="K98" s="37">
        <v>0</v>
      </c>
      <c r="L98" s="36">
        <v>0</v>
      </c>
    </row>
    <row r="99" spans="1:12" ht="19.5" customHeight="1">
      <c r="A99" s="272"/>
      <c r="B99" s="267" t="s">
        <v>147</v>
      </c>
      <c r="C99" s="60" t="s">
        <v>148</v>
      </c>
      <c r="D99" s="38" t="s">
        <v>149</v>
      </c>
      <c r="E99" s="40">
        <v>60</v>
      </c>
      <c r="F99" s="35">
        <v>40.799999999999997</v>
      </c>
      <c r="G99" s="35">
        <v>67.727999999999994</v>
      </c>
      <c r="H99" s="36">
        <v>0.48959999999999992</v>
      </c>
      <c r="I99" s="36">
        <v>8.1600000000000006E-2</v>
      </c>
      <c r="J99" s="37">
        <v>16.034399999999998</v>
      </c>
      <c r="K99" s="37">
        <v>3.2639999999999998</v>
      </c>
      <c r="L99" s="36">
        <v>0.16320000000000001</v>
      </c>
    </row>
    <row r="100" spans="1:12" ht="19.5" customHeight="1">
      <c r="A100" s="266"/>
      <c r="B100" s="268"/>
      <c r="C100" s="60" t="s">
        <v>88</v>
      </c>
      <c r="D100" s="38" t="s">
        <v>89</v>
      </c>
      <c r="E100" s="39">
        <v>5</v>
      </c>
      <c r="F100" s="35">
        <v>5</v>
      </c>
      <c r="G100" s="35">
        <v>45</v>
      </c>
      <c r="H100" s="36">
        <v>0</v>
      </c>
      <c r="I100" s="36">
        <v>5</v>
      </c>
      <c r="J100" s="37">
        <v>0</v>
      </c>
      <c r="K100" s="37">
        <v>0</v>
      </c>
      <c r="L100" s="36">
        <v>0</v>
      </c>
    </row>
    <row r="101" spans="1:12" ht="25.5">
      <c r="A101" s="43" t="s">
        <v>94</v>
      </c>
      <c r="B101" s="53"/>
      <c r="C101" s="60"/>
      <c r="D101" s="38"/>
      <c r="E101" s="39"/>
      <c r="F101" s="35"/>
      <c r="G101" s="35"/>
      <c r="H101" s="36"/>
      <c r="I101" s="36"/>
      <c r="J101" s="37"/>
      <c r="K101" s="37"/>
      <c r="L101" s="36"/>
    </row>
    <row r="102" spans="1:12">
      <c r="A102" s="281"/>
      <c r="B102" s="281"/>
      <c r="C102" s="281"/>
      <c r="D102" s="281"/>
      <c r="E102" s="281"/>
      <c r="F102" s="281"/>
      <c r="G102" s="281"/>
      <c r="H102" s="281"/>
      <c r="I102" s="281"/>
      <c r="J102" s="281"/>
      <c r="K102" s="281"/>
      <c r="L102" s="281"/>
    </row>
    <row r="103" spans="1:12" ht="15.75">
      <c r="A103" s="277" t="s">
        <v>98</v>
      </c>
      <c r="B103" s="278"/>
      <c r="C103" s="278"/>
      <c r="D103" s="278"/>
      <c r="E103" s="278"/>
      <c r="F103" s="279"/>
      <c r="G103" s="45">
        <f t="shared" ref="G103:L103" si="6">SUM(G85:G101)</f>
        <v>640.27850000000001</v>
      </c>
      <c r="H103" s="45">
        <f t="shared" si="6"/>
        <v>15.876249999999999</v>
      </c>
      <c r="I103" s="45">
        <f t="shared" si="6"/>
        <v>15.8582</v>
      </c>
      <c r="J103" s="45">
        <f t="shared" si="6"/>
        <v>102.22649999999999</v>
      </c>
      <c r="K103" s="45">
        <f t="shared" si="6"/>
        <v>52.086500000000008</v>
      </c>
      <c r="L103" s="45">
        <f t="shared" si="6"/>
        <v>5.0025500000000003</v>
      </c>
    </row>
    <row r="104" spans="1:12" ht="15.75">
      <c r="A104" s="277" t="s">
        <v>99</v>
      </c>
      <c r="B104" s="278"/>
      <c r="C104" s="278"/>
      <c r="D104" s="278"/>
      <c r="E104" s="278"/>
      <c r="F104" s="279"/>
      <c r="G104" s="46">
        <v>2245</v>
      </c>
      <c r="H104" s="46">
        <v>78.5</v>
      </c>
      <c r="I104" s="46">
        <v>74.8</v>
      </c>
      <c r="J104" s="46">
        <v>314.3</v>
      </c>
      <c r="K104" s="46">
        <v>1100</v>
      </c>
      <c r="L104" s="46">
        <v>8.6999999999999993</v>
      </c>
    </row>
    <row r="105" spans="1:12" ht="15.75">
      <c r="A105" s="277" t="s">
        <v>100</v>
      </c>
      <c r="B105" s="278"/>
      <c r="C105" s="278"/>
      <c r="D105" s="278"/>
      <c r="E105" s="278"/>
      <c r="F105" s="279"/>
      <c r="G105" s="47">
        <f t="shared" ref="G105:L105" si="7">G103/G104</f>
        <v>0.28520200445434296</v>
      </c>
      <c r="H105" s="47">
        <f t="shared" si="7"/>
        <v>0.2022452229299363</v>
      </c>
      <c r="I105" s="48">
        <f t="shared" si="7"/>
        <v>0.21200802139037433</v>
      </c>
      <c r="J105" s="47">
        <f t="shared" si="7"/>
        <v>0.32525135221126306</v>
      </c>
      <c r="K105" s="47">
        <f t="shared" si="7"/>
        <v>4.7351363636363643E-2</v>
      </c>
      <c r="L105" s="47">
        <f t="shared" si="7"/>
        <v>0.57500574712643682</v>
      </c>
    </row>
    <row r="106" spans="1:12" ht="15.75">
      <c r="A106" s="239"/>
      <c r="B106" s="240"/>
      <c r="C106" s="240"/>
      <c r="D106" s="240"/>
      <c r="E106" s="240"/>
      <c r="F106" s="240"/>
      <c r="G106" s="240"/>
      <c r="H106" s="240"/>
      <c r="I106" s="240"/>
      <c r="J106" s="240"/>
      <c r="K106" s="240"/>
      <c r="L106" s="241"/>
    </row>
    <row r="107" spans="1:12" s="49" customFormat="1" ht="19.5" customHeight="1">
      <c r="A107" s="259" t="s">
        <v>101</v>
      </c>
      <c r="B107" s="260"/>
      <c r="C107" s="260"/>
      <c r="D107" s="260"/>
      <c r="E107" s="260"/>
      <c r="F107" s="261"/>
      <c r="G107" s="245" t="s">
        <v>102</v>
      </c>
      <c r="H107" s="246"/>
      <c r="I107" s="246"/>
      <c r="J107" s="246"/>
      <c r="K107" s="246"/>
      <c r="L107" s="247"/>
    </row>
    <row r="108" spans="1:12" s="49" customFormat="1" ht="33.75" customHeight="1">
      <c r="A108" s="50" t="s">
        <v>103</v>
      </c>
      <c r="B108" s="257"/>
      <c r="C108" s="257"/>
      <c r="D108" s="257"/>
      <c r="E108" s="257"/>
      <c r="F108" s="257"/>
      <c r="G108" s="283" t="s">
        <v>104</v>
      </c>
      <c r="H108" s="283"/>
      <c r="I108" s="283"/>
      <c r="J108" s="285" t="str">
        <f t="shared" ref="J108" si="8">$J$30</f>
        <v>MND 1192925014</v>
      </c>
      <c r="K108" s="285"/>
      <c r="L108" s="285"/>
    </row>
    <row r="109" spans="1:12">
      <c r="A109" s="280"/>
      <c r="B109" s="281"/>
      <c r="C109" s="281"/>
      <c r="D109" s="281"/>
      <c r="E109" s="281"/>
      <c r="F109" s="281"/>
      <c r="G109" s="281"/>
      <c r="H109" s="281"/>
      <c r="I109" s="281"/>
      <c r="J109" s="281"/>
      <c r="K109" s="281"/>
      <c r="L109" s="282"/>
    </row>
    <row r="110" spans="1:12">
      <c r="A110" s="227" t="s">
        <v>150</v>
      </c>
      <c r="B110" s="228"/>
      <c r="C110" s="228"/>
      <c r="D110" s="228"/>
      <c r="E110" s="228"/>
      <c r="F110" s="228"/>
      <c r="G110" s="228"/>
      <c r="H110" s="228"/>
      <c r="I110" s="228"/>
      <c r="J110" s="228"/>
      <c r="K110" s="228"/>
      <c r="L110" s="229"/>
    </row>
    <row r="111" spans="1:12">
      <c r="A111" s="231" t="s">
        <v>55</v>
      </c>
      <c r="B111" s="233" t="s">
        <v>56</v>
      </c>
      <c r="C111" s="235" t="s">
        <v>57</v>
      </c>
      <c r="D111" s="233" t="s">
        <v>58</v>
      </c>
      <c r="E111" s="237" t="s">
        <v>59</v>
      </c>
      <c r="F111" s="237" t="s">
        <v>60</v>
      </c>
      <c r="G111" s="269" t="s">
        <v>61</v>
      </c>
      <c r="H111" s="270"/>
      <c r="I111" s="270"/>
      <c r="J111" s="270"/>
      <c r="K111" s="270"/>
      <c r="L111" s="271"/>
    </row>
    <row r="112" spans="1:12" ht="22.5">
      <c r="A112" s="255"/>
      <c r="B112" s="262"/>
      <c r="C112" s="263"/>
      <c r="D112" s="262"/>
      <c r="E112" s="264"/>
      <c r="F112" s="264"/>
      <c r="G112" s="51" t="s">
        <v>62</v>
      </c>
      <c r="H112" s="31" t="s">
        <v>63</v>
      </c>
      <c r="I112" s="31" t="s">
        <v>64</v>
      </c>
      <c r="J112" s="31" t="s">
        <v>65</v>
      </c>
      <c r="K112" s="31" t="s">
        <v>66</v>
      </c>
      <c r="L112" s="31" t="s">
        <v>67</v>
      </c>
    </row>
    <row r="113" spans="1:12" ht="15" customHeight="1">
      <c r="A113" s="265" t="s">
        <v>68</v>
      </c>
      <c r="B113" s="267" t="s">
        <v>151</v>
      </c>
      <c r="C113" s="62" t="s">
        <v>152</v>
      </c>
      <c r="D113" s="38" t="s">
        <v>153</v>
      </c>
      <c r="E113" s="39">
        <v>13</v>
      </c>
      <c r="F113" s="35">
        <v>13</v>
      </c>
      <c r="G113" s="35">
        <v>53.82</v>
      </c>
      <c r="H113" s="36">
        <v>1.911</v>
      </c>
      <c r="I113" s="36">
        <v>1.1179999999999999</v>
      </c>
      <c r="J113" s="37">
        <v>8.6059999999999999</v>
      </c>
      <c r="K113" s="37">
        <v>7.02</v>
      </c>
      <c r="L113" s="36">
        <v>0.52</v>
      </c>
    </row>
    <row r="114" spans="1:12" ht="15" customHeight="1">
      <c r="A114" s="266"/>
      <c r="B114" s="268"/>
      <c r="C114" s="62" t="s">
        <v>74</v>
      </c>
      <c r="D114" s="38" t="s">
        <v>75</v>
      </c>
      <c r="E114" s="39">
        <v>10</v>
      </c>
      <c r="F114" s="35">
        <v>10</v>
      </c>
      <c r="G114" s="35">
        <v>39.700000000000003</v>
      </c>
      <c r="H114" s="36">
        <v>0</v>
      </c>
      <c r="I114" s="36">
        <v>0</v>
      </c>
      <c r="J114" s="37">
        <v>9.93</v>
      </c>
      <c r="K114" s="37">
        <v>0</v>
      </c>
      <c r="L114" s="36">
        <v>0.01</v>
      </c>
    </row>
    <row r="115" spans="1:12" ht="32.25" customHeight="1">
      <c r="A115" s="63" t="s">
        <v>76</v>
      </c>
      <c r="B115" s="53" t="s">
        <v>154</v>
      </c>
      <c r="C115" s="62" t="s">
        <v>155</v>
      </c>
      <c r="D115" s="38" t="s">
        <v>156</v>
      </c>
      <c r="E115" s="64">
        <v>50</v>
      </c>
      <c r="F115" s="35">
        <v>65</v>
      </c>
      <c r="G115" s="35">
        <v>196.95</v>
      </c>
      <c r="H115" s="36">
        <v>11.375</v>
      </c>
      <c r="I115" s="36">
        <v>16.574999999999999</v>
      </c>
      <c r="J115" s="37">
        <v>0.58499999999999996</v>
      </c>
      <c r="K115" s="37">
        <v>508.95</v>
      </c>
      <c r="L115" s="36">
        <v>0.84499999999999997</v>
      </c>
    </row>
    <row r="116" spans="1:12" ht="28.5" customHeight="1">
      <c r="A116" s="265" t="s">
        <v>90</v>
      </c>
      <c r="B116" s="267" t="s">
        <v>157</v>
      </c>
      <c r="C116" s="62" t="s">
        <v>158</v>
      </c>
      <c r="D116" s="38" t="s">
        <v>159</v>
      </c>
      <c r="E116" s="39">
        <v>50</v>
      </c>
      <c r="F116" s="35">
        <v>50</v>
      </c>
      <c r="G116" s="35">
        <v>185.5</v>
      </c>
      <c r="H116" s="36">
        <v>6.5</v>
      </c>
      <c r="I116" s="36">
        <v>0.75</v>
      </c>
      <c r="J116" s="37">
        <v>37.35</v>
      </c>
      <c r="K116" s="37">
        <v>12.5</v>
      </c>
      <c r="L116" s="36">
        <v>1.95</v>
      </c>
    </row>
    <row r="117" spans="1:12" ht="21" customHeight="1">
      <c r="A117" s="272"/>
      <c r="B117" s="273"/>
      <c r="C117" s="62" t="s">
        <v>80</v>
      </c>
      <c r="D117" s="38" t="s">
        <v>81</v>
      </c>
      <c r="E117" s="39">
        <v>10</v>
      </c>
      <c r="F117" s="35">
        <v>9.5</v>
      </c>
      <c r="G117" s="35">
        <v>3.8</v>
      </c>
      <c r="H117" s="36">
        <v>0.13299999999999998</v>
      </c>
      <c r="I117" s="36">
        <v>9.5000000000000015E-3</v>
      </c>
      <c r="J117" s="37">
        <v>0.73150000000000004</v>
      </c>
      <c r="K117" s="37">
        <v>2.2799999999999998</v>
      </c>
      <c r="L117" s="36">
        <v>2.8500000000000001E-2</v>
      </c>
    </row>
    <row r="118" spans="1:12" ht="21.75" customHeight="1">
      <c r="A118" s="272"/>
      <c r="B118" s="273"/>
      <c r="C118" s="62" t="s">
        <v>82</v>
      </c>
      <c r="D118" s="38" t="s">
        <v>83</v>
      </c>
      <c r="E118" s="39">
        <v>10</v>
      </c>
      <c r="F118" s="35">
        <v>8</v>
      </c>
      <c r="G118" s="35">
        <v>1.84</v>
      </c>
      <c r="H118" s="36">
        <v>7.2000000000000008E-2</v>
      </c>
      <c r="I118" s="36">
        <v>8.0000000000000002E-3</v>
      </c>
      <c r="J118" s="37">
        <v>0.32799999999999996</v>
      </c>
      <c r="K118" s="37">
        <v>0.72</v>
      </c>
      <c r="L118" s="36">
        <v>0.04</v>
      </c>
    </row>
    <row r="119" spans="1:12" ht="21.75" customHeight="1">
      <c r="A119" s="272"/>
      <c r="B119" s="273"/>
      <c r="C119" s="62" t="s">
        <v>114</v>
      </c>
      <c r="D119" s="38" t="s">
        <v>115</v>
      </c>
      <c r="E119" s="39">
        <v>10</v>
      </c>
      <c r="F119" s="35">
        <v>4</v>
      </c>
      <c r="G119" s="35">
        <v>1.48</v>
      </c>
      <c r="H119" s="36">
        <v>4.8000000000000001E-2</v>
      </c>
      <c r="I119" s="36">
        <v>4.0000000000000001E-3</v>
      </c>
      <c r="J119" s="37">
        <v>0.27200000000000002</v>
      </c>
      <c r="K119" s="37">
        <v>2.2799999999999998</v>
      </c>
      <c r="L119" s="36">
        <v>0.02</v>
      </c>
    </row>
    <row r="120" spans="1:12" ht="21.75" customHeight="1">
      <c r="A120" s="272"/>
      <c r="B120" s="273"/>
      <c r="C120" s="62" t="s">
        <v>84</v>
      </c>
      <c r="D120" s="52" t="s">
        <v>85</v>
      </c>
      <c r="E120" s="34">
        <v>1</v>
      </c>
      <c r="F120" s="35">
        <v>0.95</v>
      </c>
      <c r="G120" s="35">
        <v>1.3679999999999999</v>
      </c>
      <c r="H120" s="36">
        <v>4.4649999999999995E-2</v>
      </c>
      <c r="I120" s="36">
        <v>2.8499999999999997E-3</v>
      </c>
      <c r="J120" s="37">
        <v>0.27834999999999999</v>
      </c>
      <c r="K120" s="37">
        <v>0.38</v>
      </c>
      <c r="L120" s="36">
        <v>1.2349999999999998E-2</v>
      </c>
    </row>
    <row r="121" spans="1:12" ht="18" customHeight="1">
      <c r="A121" s="272"/>
      <c r="B121" s="273"/>
      <c r="C121" s="62" t="s">
        <v>128</v>
      </c>
      <c r="D121" s="38" t="s">
        <v>129</v>
      </c>
      <c r="E121" s="40">
        <v>1</v>
      </c>
      <c r="F121" s="35">
        <v>1</v>
      </c>
      <c r="G121" s="35">
        <v>3.92</v>
      </c>
      <c r="H121" s="36">
        <v>4.4000000000000004E-2</v>
      </c>
      <c r="I121" s="36">
        <v>5.2999999999999999E-2</v>
      </c>
      <c r="J121" s="37">
        <v>0.81799999999999995</v>
      </c>
      <c r="K121" s="37">
        <v>0.11</v>
      </c>
      <c r="L121" s="36">
        <v>1.3999999999999999E-2</v>
      </c>
    </row>
    <row r="122" spans="1:12" ht="18" customHeight="1">
      <c r="A122" s="272"/>
      <c r="B122" s="273"/>
      <c r="C122" s="62" t="s">
        <v>88</v>
      </c>
      <c r="D122" s="38" t="s">
        <v>89</v>
      </c>
      <c r="E122" s="39">
        <v>5</v>
      </c>
      <c r="F122" s="35">
        <v>5</v>
      </c>
      <c r="G122" s="35">
        <v>45</v>
      </c>
      <c r="H122" s="36">
        <v>0</v>
      </c>
      <c r="I122" s="36">
        <v>5</v>
      </c>
      <c r="J122" s="37">
        <v>0</v>
      </c>
      <c r="K122" s="37">
        <v>0</v>
      </c>
      <c r="L122" s="36">
        <v>0</v>
      </c>
    </row>
    <row r="123" spans="1:12" ht="33.75" customHeight="1">
      <c r="A123" s="266"/>
      <c r="B123" s="268"/>
      <c r="C123" s="62" t="s">
        <v>86</v>
      </c>
      <c r="D123" s="38" t="s">
        <v>87</v>
      </c>
      <c r="E123" s="40">
        <v>1</v>
      </c>
      <c r="F123" s="35">
        <v>1</v>
      </c>
      <c r="G123" s="35">
        <v>0</v>
      </c>
      <c r="H123" s="36">
        <v>0</v>
      </c>
      <c r="I123" s="36">
        <v>0</v>
      </c>
      <c r="J123" s="37">
        <v>0</v>
      </c>
      <c r="K123" s="37">
        <v>0.24</v>
      </c>
      <c r="L123" s="36">
        <v>3.0000000000000001E-3</v>
      </c>
    </row>
    <row r="124" spans="1:12" ht="25.5">
      <c r="A124" s="43" t="s">
        <v>94</v>
      </c>
      <c r="B124" s="53" t="s">
        <v>160</v>
      </c>
      <c r="C124" s="62" t="s">
        <v>161</v>
      </c>
      <c r="D124" s="38" t="s">
        <v>162</v>
      </c>
      <c r="E124" s="39">
        <v>27</v>
      </c>
      <c r="F124" s="35">
        <v>27</v>
      </c>
      <c r="G124" s="35">
        <v>125.55</v>
      </c>
      <c r="H124" s="36">
        <v>2.2680000000000002</v>
      </c>
      <c r="I124" s="36">
        <v>4.6440000000000001</v>
      </c>
      <c r="J124" s="37">
        <v>18.414000000000001</v>
      </c>
      <c r="K124" s="37">
        <v>28.89</v>
      </c>
      <c r="L124" s="36">
        <v>0.67500000000000004</v>
      </c>
    </row>
    <row r="125" spans="1:12" ht="15.75">
      <c r="A125" s="65"/>
      <c r="B125" s="66"/>
      <c r="C125" s="67"/>
      <c r="D125" s="68"/>
      <c r="E125" s="69"/>
      <c r="F125" s="70"/>
      <c r="G125" s="35"/>
      <c r="H125" s="36"/>
      <c r="I125" s="36"/>
      <c r="J125" s="37"/>
      <c r="K125" s="37"/>
      <c r="L125" s="36"/>
    </row>
    <row r="126" spans="1:12" ht="15.75">
      <c r="A126" s="277" t="s">
        <v>98</v>
      </c>
      <c r="B126" s="278"/>
      <c r="C126" s="278"/>
      <c r="D126" s="278"/>
      <c r="E126" s="278"/>
      <c r="F126" s="279"/>
      <c r="G126" s="45">
        <f>SUM(G113:G124)</f>
        <v>658.928</v>
      </c>
      <c r="H126" s="45">
        <f>SUM(H109:H124)</f>
        <v>22.39565</v>
      </c>
      <c r="I126" s="45">
        <f>SUM(I109:I124)</f>
        <v>28.164349999999999</v>
      </c>
      <c r="J126" s="45">
        <f>SUM(J109:J124)</f>
        <v>77.312849999999997</v>
      </c>
      <c r="K126" s="45">
        <f>SUM(K109:K124)</f>
        <v>563.37</v>
      </c>
      <c r="L126" s="45">
        <f>SUM(L109:L124)</f>
        <v>4.1178500000000007</v>
      </c>
    </row>
    <row r="127" spans="1:12" ht="15.75">
      <c r="A127" s="277" t="s">
        <v>99</v>
      </c>
      <c r="B127" s="278"/>
      <c r="C127" s="278"/>
      <c r="D127" s="278"/>
      <c r="E127" s="278"/>
      <c r="F127" s="279"/>
      <c r="G127" s="46">
        <v>2245</v>
      </c>
      <c r="H127" s="46">
        <v>78.5</v>
      </c>
      <c r="I127" s="46">
        <v>74.8</v>
      </c>
      <c r="J127" s="46">
        <v>314.3</v>
      </c>
      <c r="K127" s="46">
        <v>1100</v>
      </c>
      <c r="L127" s="46">
        <v>8.6999999999999993</v>
      </c>
    </row>
    <row r="128" spans="1:12" ht="15.75">
      <c r="A128" s="277" t="s">
        <v>100</v>
      </c>
      <c r="B128" s="278"/>
      <c r="C128" s="278"/>
      <c r="D128" s="278"/>
      <c r="E128" s="278"/>
      <c r="F128" s="279"/>
      <c r="G128" s="47">
        <f t="shared" ref="G128:L128" si="9">G126/G127</f>
        <v>0.29350913140311802</v>
      </c>
      <c r="H128" s="47">
        <f t="shared" si="9"/>
        <v>0.28529490445859873</v>
      </c>
      <c r="I128" s="48">
        <f t="shared" si="9"/>
        <v>0.37652874331550801</v>
      </c>
      <c r="J128" s="47">
        <f t="shared" si="9"/>
        <v>0.24598425071587654</v>
      </c>
      <c r="K128" s="47">
        <f t="shared" si="9"/>
        <v>0.51215454545454542</v>
      </c>
      <c r="L128" s="47">
        <f t="shared" si="9"/>
        <v>0.47331609195402313</v>
      </c>
    </row>
    <row r="129" spans="1:12" ht="15.75">
      <c r="A129" s="239"/>
      <c r="B129" s="240"/>
      <c r="C129" s="240"/>
      <c r="D129" s="240"/>
      <c r="E129" s="240"/>
      <c r="F129" s="240"/>
      <c r="G129" s="240"/>
      <c r="H129" s="240"/>
      <c r="I129" s="240"/>
      <c r="J129" s="240"/>
      <c r="K129" s="240"/>
      <c r="L129" s="241"/>
    </row>
    <row r="130" spans="1:12" s="49" customFormat="1" ht="19.5" customHeight="1">
      <c r="A130" s="289" t="s">
        <v>101</v>
      </c>
      <c r="B130" s="290"/>
      <c r="C130" s="290"/>
      <c r="D130" s="290"/>
      <c r="E130" s="290"/>
      <c r="F130" s="291"/>
      <c r="G130" s="245" t="s">
        <v>102</v>
      </c>
      <c r="H130" s="246"/>
      <c r="I130" s="246"/>
      <c r="J130" s="246"/>
      <c r="K130" s="246"/>
      <c r="L130" s="247"/>
    </row>
    <row r="131" spans="1:12" s="49" customFormat="1" ht="36.75" customHeight="1">
      <c r="A131" s="50" t="s">
        <v>103</v>
      </c>
      <c r="B131" s="257"/>
      <c r="C131" s="257"/>
      <c r="D131" s="257"/>
      <c r="E131" s="257"/>
      <c r="F131" s="257"/>
      <c r="G131" s="283" t="s">
        <v>104</v>
      </c>
      <c r="H131" s="283"/>
      <c r="I131" s="283"/>
      <c r="J131" s="257" t="str">
        <f t="shared" ref="J131" si="10">$J$30</f>
        <v>MND 1192925014</v>
      </c>
      <c r="K131" s="257"/>
      <c r="L131" s="257"/>
    </row>
    <row r="132" spans="1:12" s="49" customFormat="1" ht="19.5" customHeight="1">
      <c r="A132" s="259"/>
      <c r="B132" s="260"/>
      <c r="C132" s="260"/>
      <c r="D132" s="260"/>
      <c r="E132" s="260"/>
      <c r="F132" s="260"/>
      <c r="G132" s="260"/>
      <c r="H132" s="260"/>
      <c r="I132" s="260"/>
      <c r="J132" s="260"/>
      <c r="K132" s="260"/>
      <c r="L132" s="261"/>
    </row>
    <row r="133" spans="1:12">
      <c r="A133" s="227" t="s">
        <v>163</v>
      </c>
      <c r="B133" s="228"/>
      <c r="C133" s="228"/>
      <c r="D133" s="228"/>
      <c r="E133" s="228"/>
      <c r="F133" s="228"/>
      <c r="G133" s="228"/>
      <c r="H133" s="228"/>
      <c r="I133" s="228"/>
      <c r="J133" s="228"/>
      <c r="K133" s="228"/>
      <c r="L133" s="229"/>
    </row>
    <row r="134" spans="1:12">
      <c r="A134" s="231" t="s">
        <v>55</v>
      </c>
      <c r="B134" s="233" t="s">
        <v>56</v>
      </c>
      <c r="C134" s="235" t="s">
        <v>57</v>
      </c>
      <c r="D134" s="233" t="s">
        <v>58</v>
      </c>
      <c r="E134" s="237" t="s">
        <v>59</v>
      </c>
      <c r="F134" s="237" t="s">
        <v>60</v>
      </c>
      <c r="G134" s="269" t="s">
        <v>61</v>
      </c>
      <c r="H134" s="270"/>
      <c r="I134" s="270"/>
      <c r="J134" s="270"/>
      <c r="K134" s="270"/>
      <c r="L134" s="271"/>
    </row>
    <row r="135" spans="1:12" ht="22.5">
      <c r="A135" s="255"/>
      <c r="B135" s="262"/>
      <c r="C135" s="263"/>
      <c r="D135" s="262"/>
      <c r="E135" s="264"/>
      <c r="F135" s="264"/>
      <c r="G135" s="51" t="s">
        <v>62</v>
      </c>
      <c r="H135" s="31" t="s">
        <v>63</v>
      </c>
      <c r="I135" s="31" t="s">
        <v>64</v>
      </c>
      <c r="J135" s="31" t="s">
        <v>65</v>
      </c>
      <c r="K135" s="31" t="s">
        <v>66</v>
      </c>
      <c r="L135" s="31" t="s">
        <v>67</v>
      </c>
    </row>
    <row r="136" spans="1:12" ht="15" customHeight="1">
      <c r="A136" s="295" t="s">
        <v>107</v>
      </c>
      <c r="B136" s="298" t="s">
        <v>164</v>
      </c>
      <c r="C136" s="32" t="s">
        <v>70</v>
      </c>
      <c r="D136" s="38" t="s">
        <v>71</v>
      </c>
      <c r="E136" s="39">
        <v>13</v>
      </c>
      <c r="F136" s="35">
        <v>13</v>
      </c>
      <c r="G136" s="35">
        <v>64.87</v>
      </c>
      <c r="H136" s="36">
        <v>3.4190000000000005</v>
      </c>
      <c r="I136" s="36">
        <v>3.4580000000000002</v>
      </c>
      <c r="J136" s="37">
        <v>4.992</v>
      </c>
      <c r="K136" s="37">
        <v>122.2</v>
      </c>
      <c r="L136" s="36">
        <v>6.5000000000000002E-2</v>
      </c>
    </row>
    <row r="137" spans="1:12" s="49" customFormat="1" ht="15.75">
      <c r="A137" s="296"/>
      <c r="B137" s="299"/>
      <c r="C137" s="32" t="s">
        <v>165</v>
      </c>
      <c r="D137" s="38" t="s">
        <v>166</v>
      </c>
      <c r="E137" s="39">
        <v>14</v>
      </c>
      <c r="F137" s="35">
        <v>14</v>
      </c>
      <c r="G137" s="35">
        <v>53.9</v>
      </c>
      <c r="H137" s="36">
        <v>1.75</v>
      </c>
      <c r="I137" s="36">
        <v>0.252</v>
      </c>
      <c r="J137" s="37">
        <v>10.093999999999999</v>
      </c>
      <c r="K137" s="37">
        <v>5.04</v>
      </c>
      <c r="L137" s="36">
        <v>0.37800000000000006</v>
      </c>
    </row>
    <row r="138" spans="1:12" ht="15" customHeight="1">
      <c r="A138" s="297"/>
      <c r="B138" s="300"/>
      <c r="C138" s="32" t="s">
        <v>74</v>
      </c>
      <c r="D138" s="38" t="s">
        <v>75</v>
      </c>
      <c r="E138" s="39">
        <v>10</v>
      </c>
      <c r="F138" s="35">
        <v>10</v>
      </c>
      <c r="G138" s="35">
        <v>39.700000000000003</v>
      </c>
      <c r="H138" s="36">
        <v>0</v>
      </c>
      <c r="I138" s="36">
        <v>0</v>
      </c>
      <c r="J138" s="37">
        <v>9.93</v>
      </c>
      <c r="K138" s="37">
        <v>0</v>
      </c>
      <c r="L138" s="36">
        <v>0.01</v>
      </c>
    </row>
    <row r="139" spans="1:12" ht="30" customHeight="1">
      <c r="A139" s="71" t="s">
        <v>76</v>
      </c>
      <c r="B139" s="72" t="s">
        <v>154</v>
      </c>
      <c r="C139" s="32" t="s">
        <v>155</v>
      </c>
      <c r="D139" s="38" t="s">
        <v>156</v>
      </c>
      <c r="E139" s="39">
        <v>50</v>
      </c>
      <c r="F139" s="35">
        <v>50</v>
      </c>
      <c r="G139" s="35">
        <v>151.5</v>
      </c>
      <c r="H139" s="36">
        <v>8.75</v>
      </c>
      <c r="I139" s="36">
        <v>12.75</v>
      </c>
      <c r="J139" s="37">
        <v>0.45</v>
      </c>
      <c r="K139" s="37">
        <v>391.5</v>
      </c>
      <c r="L139" s="36">
        <v>0.65</v>
      </c>
    </row>
    <row r="140" spans="1:12" ht="15" customHeight="1">
      <c r="A140" s="295" t="s">
        <v>90</v>
      </c>
      <c r="B140" s="301" t="s">
        <v>167</v>
      </c>
      <c r="C140" s="32" t="s">
        <v>119</v>
      </c>
      <c r="D140" s="38" t="s">
        <v>120</v>
      </c>
      <c r="E140" s="39">
        <v>50</v>
      </c>
      <c r="F140" s="35">
        <v>50</v>
      </c>
      <c r="G140" s="35">
        <v>190</v>
      </c>
      <c r="H140" s="36">
        <v>4.55</v>
      </c>
      <c r="I140" s="36">
        <v>1.85</v>
      </c>
      <c r="J140" s="37">
        <v>36.950000000000003</v>
      </c>
      <c r="K140" s="37">
        <v>2</v>
      </c>
      <c r="L140" s="36">
        <v>1.35</v>
      </c>
    </row>
    <row r="141" spans="1:12" ht="14.25" customHeight="1">
      <c r="A141" s="296"/>
      <c r="B141" s="302"/>
      <c r="C141" s="32" t="s">
        <v>86</v>
      </c>
      <c r="D141" s="38" t="s">
        <v>87</v>
      </c>
      <c r="E141" s="40">
        <v>1</v>
      </c>
      <c r="F141" s="35">
        <v>1</v>
      </c>
      <c r="G141" s="35">
        <v>0</v>
      </c>
      <c r="H141" s="36">
        <v>0</v>
      </c>
      <c r="I141" s="36">
        <v>0</v>
      </c>
      <c r="J141" s="37">
        <v>0</v>
      </c>
      <c r="K141" s="37">
        <v>0.24</v>
      </c>
      <c r="L141" s="36">
        <v>3.0000000000000001E-3</v>
      </c>
    </row>
    <row r="142" spans="1:12" ht="21.75" customHeight="1">
      <c r="A142" s="297"/>
      <c r="B142" s="303"/>
      <c r="C142" s="32" t="s">
        <v>168</v>
      </c>
      <c r="D142" s="38" t="s">
        <v>169</v>
      </c>
      <c r="E142" s="39">
        <v>5</v>
      </c>
      <c r="F142" s="35">
        <v>5</v>
      </c>
      <c r="G142" s="35">
        <v>23.65</v>
      </c>
      <c r="H142" s="36">
        <v>0.04</v>
      </c>
      <c r="I142" s="36">
        <v>4.1100000000000003</v>
      </c>
      <c r="J142" s="37">
        <v>0</v>
      </c>
      <c r="K142" s="37">
        <v>1.1000000000000001</v>
      </c>
      <c r="L142" s="36">
        <v>0.01</v>
      </c>
    </row>
    <row r="143" spans="1:12" ht="25.5">
      <c r="A143" s="43" t="s">
        <v>94</v>
      </c>
      <c r="B143" s="73" t="s">
        <v>170</v>
      </c>
      <c r="C143" s="32" t="s">
        <v>171</v>
      </c>
      <c r="D143" s="38" t="s">
        <v>172</v>
      </c>
      <c r="E143" s="39">
        <v>100</v>
      </c>
      <c r="F143" s="35">
        <v>60</v>
      </c>
      <c r="G143" s="35">
        <v>24.6</v>
      </c>
      <c r="H143" s="36">
        <v>0.42</v>
      </c>
      <c r="I143" s="36">
        <v>0.18</v>
      </c>
      <c r="J143" s="37">
        <v>5.28</v>
      </c>
      <c r="K143" s="37">
        <v>19.8</v>
      </c>
      <c r="L143" s="36">
        <v>0.78</v>
      </c>
    </row>
    <row r="144" spans="1:12">
      <c r="A144" s="281"/>
      <c r="B144" s="281"/>
      <c r="C144" s="281"/>
      <c r="D144" s="281"/>
      <c r="E144" s="281"/>
      <c r="F144" s="281"/>
      <c r="G144" s="281"/>
      <c r="H144" s="281"/>
      <c r="I144" s="281"/>
      <c r="J144" s="281"/>
      <c r="K144" s="281"/>
      <c r="L144" s="282"/>
    </row>
    <row r="145" spans="1:12" ht="15.75">
      <c r="A145" s="277" t="s">
        <v>98</v>
      </c>
      <c r="B145" s="278"/>
      <c r="C145" s="278"/>
      <c r="D145" s="278"/>
      <c r="E145" s="278"/>
      <c r="F145" s="279"/>
      <c r="G145" s="45">
        <f>SUM(G136:G144)</f>
        <v>548.22</v>
      </c>
      <c r="H145" s="45">
        <f>SUM(H132:H144)</f>
        <v>18.929000000000002</v>
      </c>
      <c r="I145" s="45">
        <f>SUM(I132:I144)</f>
        <v>22.6</v>
      </c>
      <c r="J145" s="45">
        <f>SUM(J132:J144)</f>
        <v>67.695999999999998</v>
      </c>
      <c r="K145" s="45">
        <f>SUM(K132:K144)</f>
        <v>541.88</v>
      </c>
      <c r="L145" s="45">
        <f>SUM(L132:L144)</f>
        <v>3.2460000000000004</v>
      </c>
    </row>
    <row r="146" spans="1:12" ht="15.75">
      <c r="A146" s="277" t="s">
        <v>99</v>
      </c>
      <c r="B146" s="278"/>
      <c r="C146" s="278"/>
      <c r="D146" s="278"/>
      <c r="E146" s="278"/>
      <c r="F146" s="279"/>
      <c r="G146" s="46">
        <v>2245</v>
      </c>
      <c r="H146" s="46">
        <v>78.5</v>
      </c>
      <c r="I146" s="46">
        <v>74.8</v>
      </c>
      <c r="J146" s="46">
        <v>314.3</v>
      </c>
      <c r="K146" s="46">
        <v>1100</v>
      </c>
      <c r="L146" s="46">
        <v>8.6999999999999993</v>
      </c>
    </row>
    <row r="147" spans="1:12" ht="15.75">
      <c r="A147" s="277" t="s">
        <v>100</v>
      </c>
      <c r="B147" s="278"/>
      <c r="C147" s="278"/>
      <c r="D147" s="278"/>
      <c r="E147" s="278"/>
      <c r="F147" s="279"/>
      <c r="G147" s="47">
        <f t="shared" ref="G147:L147" si="11">G145/G146</f>
        <v>0.24419599109131404</v>
      </c>
      <c r="H147" s="47">
        <f t="shared" si="11"/>
        <v>0.24113375796178346</v>
      </c>
      <c r="I147" s="48">
        <f t="shared" si="11"/>
        <v>0.30213903743315512</v>
      </c>
      <c r="J147" s="47">
        <f t="shared" si="11"/>
        <v>0.21538657333757555</v>
      </c>
      <c r="K147" s="47">
        <f t="shared" si="11"/>
        <v>0.49261818181818179</v>
      </c>
      <c r="L147" s="47">
        <f t="shared" si="11"/>
        <v>0.37310344827586217</v>
      </c>
    </row>
    <row r="148" spans="1:12">
      <c r="A148" s="280"/>
      <c r="B148" s="281"/>
      <c r="C148" s="281"/>
      <c r="D148" s="281"/>
      <c r="E148" s="281"/>
      <c r="F148" s="281"/>
      <c r="G148" s="281"/>
      <c r="H148" s="281"/>
      <c r="I148" s="281"/>
      <c r="J148" s="281"/>
      <c r="K148" s="281"/>
      <c r="L148" s="282"/>
    </row>
    <row r="149" spans="1:12" ht="15.75">
      <c r="A149" s="289" t="s">
        <v>101</v>
      </c>
      <c r="B149" s="290"/>
      <c r="C149" s="290"/>
      <c r="D149" s="290"/>
      <c r="E149" s="290"/>
      <c r="F149" s="291"/>
      <c r="G149" s="245" t="s">
        <v>102</v>
      </c>
      <c r="H149" s="246"/>
      <c r="I149" s="246"/>
      <c r="J149" s="246"/>
      <c r="K149" s="246"/>
      <c r="L149" s="247"/>
    </row>
    <row r="150" spans="1:12" ht="36.75" customHeight="1">
      <c r="A150" s="50" t="s">
        <v>103</v>
      </c>
      <c r="B150" s="257"/>
      <c r="C150" s="257"/>
      <c r="D150" s="257"/>
      <c r="E150" s="257"/>
      <c r="F150" s="257"/>
      <c r="G150" s="283" t="s">
        <v>104</v>
      </c>
      <c r="H150" s="283"/>
      <c r="I150" s="283"/>
      <c r="J150" s="292" t="str">
        <f t="shared" ref="J150" si="12">$J$30</f>
        <v>MND 1192925014</v>
      </c>
      <c r="K150" s="293"/>
      <c r="L150" s="294"/>
    </row>
    <row r="151" spans="1:12">
      <c r="A151" s="304"/>
      <c r="B151" s="304"/>
      <c r="C151" s="304"/>
      <c r="D151" s="304"/>
      <c r="E151" s="304"/>
      <c r="F151" s="304"/>
      <c r="G151" s="304"/>
      <c r="H151" s="304"/>
      <c r="I151" s="304"/>
      <c r="J151" s="304"/>
      <c r="K151" s="304"/>
      <c r="L151" s="304"/>
    </row>
    <row r="152" spans="1:12">
      <c r="A152" s="227" t="s">
        <v>173</v>
      </c>
      <c r="B152" s="228"/>
      <c r="C152" s="228"/>
      <c r="D152" s="228"/>
      <c r="E152" s="228"/>
      <c r="F152" s="228"/>
      <c r="G152" s="228"/>
      <c r="H152" s="228"/>
      <c r="I152" s="228"/>
      <c r="J152" s="228"/>
      <c r="K152" s="228"/>
      <c r="L152" s="229"/>
    </row>
    <row r="153" spans="1:12" ht="15" customHeight="1">
      <c r="A153" s="231" t="s">
        <v>55</v>
      </c>
      <c r="B153" s="233" t="s">
        <v>56</v>
      </c>
      <c r="C153" s="235" t="s">
        <v>57</v>
      </c>
      <c r="D153" s="233" t="s">
        <v>58</v>
      </c>
      <c r="E153" s="237" t="s">
        <v>59</v>
      </c>
      <c r="F153" s="237" t="s">
        <v>60</v>
      </c>
      <c r="G153" s="269" t="s">
        <v>61</v>
      </c>
      <c r="H153" s="270"/>
      <c r="I153" s="270"/>
      <c r="J153" s="270"/>
      <c r="K153" s="270"/>
      <c r="L153" s="271"/>
    </row>
    <row r="154" spans="1:12" ht="22.5">
      <c r="A154" s="255"/>
      <c r="B154" s="262"/>
      <c r="C154" s="263"/>
      <c r="D154" s="262"/>
      <c r="E154" s="264"/>
      <c r="F154" s="264"/>
      <c r="G154" s="51" t="s">
        <v>62</v>
      </c>
      <c r="H154" s="31" t="s">
        <v>63</v>
      </c>
      <c r="I154" s="31" t="s">
        <v>64</v>
      </c>
      <c r="J154" s="31" t="s">
        <v>65</v>
      </c>
      <c r="K154" s="31" t="s">
        <v>66</v>
      </c>
      <c r="L154" s="31" t="s">
        <v>67</v>
      </c>
    </row>
    <row r="155" spans="1:12" ht="15" customHeight="1">
      <c r="A155" s="249" t="s">
        <v>107</v>
      </c>
      <c r="B155" s="252" t="s">
        <v>174</v>
      </c>
      <c r="C155" s="60" t="s">
        <v>70</v>
      </c>
      <c r="D155" s="38" t="s">
        <v>71</v>
      </c>
      <c r="E155" s="39">
        <v>13</v>
      </c>
      <c r="F155" s="35">
        <v>13</v>
      </c>
      <c r="G155" s="35">
        <v>64.87</v>
      </c>
      <c r="H155" s="36">
        <v>3.4190000000000005</v>
      </c>
      <c r="I155" s="36">
        <v>3.4580000000000002</v>
      </c>
      <c r="J155" s="37">
        <v>4.992</v>
      </c>
      <c r="K155" s="37">
        <v>122.2</v>
      </c>
      <c r="L155" s="36">
        <v>6.5000000000000002E-2</v>
      </c>
    </row>
    <row r="156" spans="1:12" ht="15" customHeight="1">
      <c r="A156" s="250"/>
      <c r="B156" s="253"/>
      <c r="C156" s="60" t="s">
        <v>109</v>
      </c>
      <c r="D156" s="38" t="s">
        <v>110</v>
      </c>
      <c r="E156" s="39">
        <v>15</v>
      </c>
      <c r="F156" s="35">
        <v>15</v>
      </c>
      <c r="G156" s="35">
        <v>54.15</v>
      </c>
      <c r="H156" s="36">
        <v>0.9</v>
      </c>
      <c r="I156" s="36">
        <v>0.21</v>
      </c>
      <c r="J156" s="37">
        <v>12</v>
      </c>
      <c r="K156" s="37">
        <v>1.2</v>
      </c>
      <c r="L156" s="36">
        <v>0.06</v>
      </c>
    </row>
    <row r="157" spans="1:12" ht="15" customHeight="1">
      <c r="A157" s="251"/>
      <c r="B157" s="254"/>
      <c r="C157" s="60" t="s">
        <v>74</v>
      </c>
      <c r="D157" s="38" t="s">
        <v>75</v>
      </c>
      <c r="E157" s="39">
        <v>10</v>
      </c>
      <c r="F157" s="35">
        <v>10</v>
      </c>
      <c r="G157" s="35">
        <v>39.700000000000003</v>
      </c>
      <c r="H157" s="36">
        <v>0</v>
      </c>
      <c r="I157" s="36">
        <v>0</v>
      </c>
      <c r="J157" s="37">
        <v>9.93</v>
      </c>
      <c r="K157" s="37">
        <v>0</v>
      </c>
      <c r="L157" s="36">
        <v>0.01</v>
      </c>
    </row>
    <row r="158" spans="1:12" ht="15" customHeight="1">
      <c r="A158" s="231" t="s">
        <v>76</v>
      </c>
      <c r="B158" s="252" t="s">
        <v>175</v>
      </c>
      <c r="C158" s="60" t="s">
        <v>126</v>
      </c>
      <c r="D158" s="38" t="s">
        <v>127</v>
      </c>
      <c r="E158" s="39">
        <v>50</v>
      </c>
      <c r="F158" s="35">
        <v>50</v>
      </c>
      <c r="G158" s="35">
        <v>61</v>
      </c>
      <c r="H158" s="36">
        <v>10.25</v>
      </c>
      <c r="I158" s="36">
        <v>2.25</v>
      </c>
      <c r="J158" s="37">
        <v>0</v>
      </c>
      <c r="K158" s="37">
        <v>17</v>
      </c>
      <c r="L158" s="36">
        <v>0.4</v>
      </c>
    </row>
    <row r="159" spans="1:12" ht="15.75" customHeight="1">
      <c r="A159" s="255"/>
      <c r="B159" s="253"/>
      <c r="C159" s="60" t="s">
        <v>80</v>
      </c>
      <c r="D159" s="38" t="s">
        <v>81</v>
      </c>
      <c r="E159" s="39">
        <v>10</v>
      </c>
      <c r="F159" s="35">
        <v>9.5</v>
      </c>
      <c r="G159" s="35">
        <v>3.8</v>
      </c>
      <c r="H159" s="36">
        <v>0.13299999999999998</v>
      </c>
      <c r="I159" s="36">
        <v>9.5000000000000015E-3</v>
      </c>
      <c r="J159" s="37">
        <v>0.73150000000000004</v>
      </c>
      <c r="K159" s="37">
        <v>2.2799999999999998</v>
      </c>
      <c r="L159" s="36">
        <v>2.8500000000000001E-2</v>
      </c>
    </row>
    <row r="160" spans="1:12" ht="15" customHeight="1">
      <c r="A160" s="255"/>
      <c r="B160" s="253"/>
      <c r="C160" s="60" t="s">
        <v>82</v>
      </c>
      <c r="D160" s="38" t="s">
        <v>83</v>
      </c>
      <c r="E160" s="39">
        <v>10</v>
      </c>
      <c r="F160" s="35">
        <v>8</v>
      </c>
      <c r="G160" s="35">
        <v>1.84</v>
      </c>
      <c r="H160" s="36">
        <v>7.2000000000000008E-2</v>
      </c>
      <c r="I160" s="36">
        <v>8.0000000000000002E-3</v>
      </c>
      <c r="J160" s="37">
        <v>0.32799999999999996</v>
      </c>
      <c r="K160" s="37">
        <v>0.72</v>
      </c>
      <c r="L160" s="36">
        <v>0.04</v>
      </c>
    </row>
    <row r="161" spans="1:12" ht="15" customHeight="1">
      <c r="A161" s="255"/>
      <c r="B161" s="253"/>
      <c r="C161" s="60" t="s">
        <v>114</v>
      </c>
      <c r="D161" s="38" t="s">
        <v>115</v>
      </c>
      <c r="E161" s="39">
        <v>10</v>
      </c>
      <c r="F161" s="35">
        <v>4</v>
      </c>
      <c r="G161" s="35">
        <v>1.48</v>
      </c>
      <c r="H161" s="36">
        <v>4.8000000000000001E-2</v>
      </c>
      <c r="I161" s="36">
        <v>4.0000000000000001E-3</v>
      </c>
      <c r="J161" s="37">
        <v>0.27200000000000002</v>
      </c>
      <c r="K161" s="37">
        <v>2.2799999999999998</v>
      </c>
      <c r="L161" s="36">
        <v>0.02</v>
      </c>
    </row>
    <row r="162" spans="1:12" ht="15" customHeight="1">
      <c r="A162" s="255"/>
      <c r="B162" s="253"/>
      <c r="C162" s="60" t="s">
        <v>116</v>
      </c>
      <c r="D162" s="38" t="s">
        <v>117</v>
      </c>
      <c r="E162" s="39">
        <v>10</v>
      </c>
      <c r="F162" s="35">
        <v>8.5</v>
      </c>
      <c r="G162" s="35">
        <v>2.9750000000000001</v>
      </c>
      <c r="H162" s="36">
        <v>8.5000000000000006E-2</v>
      </c>
      <c r="I162" s="36">
        <v>2.5499999999999998E-2</v>
      </c>
      <c r="J162" s="37">
        <v>0.53549999999999998</v>
      </c>
      <c r="K162" s="37">
        <v>0.59499999999999997</v>
      </c>
      <c r="L162" s="36">
        <v>3.4000000000000002E-2</v>
      </c>
    </row>
    <row r="163" spans="1:12" ht="15" customHeight="1">
      <c r="A163" s="255"/>
      <c r="B163" s="253"/>
      <c r="C163" s="60" t="s">
        <v>84</v>
      </c>
      <c r="D163" s="52" t="s">
        <v>85</v>
      </c>
      <c r="E163" s="34">
        <v>1</v>
      </c>
      <c r="F163" s="35">
        <v>0.95</v>
      </c>
      <c r="G163" s="35">
        <v>1.3679999999999999</v>
      </c>
      <c r="H163" s="36">
        <v>4.4649999999999995E-2</v>
      </c>
      <c r="I163" s="36">
        <v>2.8499999999999997E-3</v>
      </c>
      <c r="J163" s="37">
        <v>0.27834999999999999</v>
      </c>
      <c r="K163" s="37">
        <v>0.38</v>
      </c>
      <c r="L163" s="36">
        <v>1.2349999999999998E-2</v>
      </c>
    </row>
    <row r="164" spans="1:12" ht="15" customHeight="1">
      <c r="A164" s="255"/>
      <c r="B164" s="253"/>
      <c r="C164" s="60" t="s">
        <v>88</v>
      </c>
      <c r="D164" s="52" t="s">
        <v>89</v>
      </c>
      <c r="E164" s="34">
        <v>8</v>
      </c>
      <c r="F164" s="35">
        <v>8</v>
      </c>
      <c r="G164" s="35">
        <v>72</v>
      </c>
      <c r="H164" s="36">
        <v>0</v>
      </c>
      <c r="I164" s="36">
        <v>8</v>
      </c>
      <c r="J164" s="37">
        <v>0</v>
      </c>
      <c r="K164" s="37">
        <v>0</v>
      </c>
      <c r="L164" s="36">
        <v>0</v>
      </c>
    </row>
    <row r="165" spans="1:12" ht="17.25" customHeight="1">
      <c r="A165" s="255"/>
      <c r="B165" s="253"/>
      <c r="C165" s="60" t="s">
        <v>86</v>
      </c>
      <c r="D165" s="38" t="s">
        <v>87</v>
      </c>
      <c r="E165" s="40">
        <v>1</v>
      </c>
      <c r="F165" s="35">
        <v>1</v>
      </c>
      <c r="G165" s="35">
        <v>0</v>
      </c>
      <c r="H165" s="36">
        <v>0</v>
      </c>
      <c r="I165" s="36">
        <v>0</v>
      </c>
      <c r="J165" s="37">
        <v>0</v>
      </c>
      <c r="K165" s="37">
        <v>0.24</v>
      </c>
      <c r="L165" s="36">
        <v>3.0000000000000001E-3</v>
      </c>
    </row>
    <row r="166" spans="1:12" ht="15" customHeight="1">
      <c r="A166" s="256"/>
      <c r="B166" s="254"/>
      <c r="C166" s="60" t="s">
        <v>88</v>
      </c>
      <c r="D166" s="38" t="s">
        <v>89</v>
      </c>
      <c r="E166" s="39">
        <v>5</v>
      </c>
      <c r="F166" s="35">
        <v>5</v>
      </c>
      <c r="G166" s="35">
        <v>45</v>
      </c>
      <c r="H166" s="36">
        <v>0</v>
      </c>
      <c r="I166" s="36">
        <v>5</v>
      </c>
      <c r="J166" s="37">
        <v>0</v>
      </c>
      <c r="K166" s="37">
        <v>0</v>
      </c>
      <c r="L166" s="36">
        <v>0</v>
      </c>
    </row>
    <row r="167" spans="1:12" ht="15" customHeight="1">
      <c r="A167" s="249" t="s">
        <v>90</v>
      </c>
      <c r="B167" s="252" t="s">
        <v>118</v>
      </c>
      <c r="C167" s="60" t="s">
        <v>119</v>
      </c>
      <c r="D167" s="38" t="s">
        <v>120</v>
      </c>
      <c r="E167" s="39">
        <v>50</v>
      </c>
      <c r="F167" s="35">
        <v>50</v>
      </c>
      <c r="G167" s="35">
        <v>190</v>
      </c>
      <c r="H167" s="36">
        <v>4.55</v>
      </c>
      <c r="I167" s="36">
        <v>1.85</v>
      </c>
      <c r="J167" s="37">
        <v>36.950000000000003</v>
      </c>
      <c r="K167" s="37">
        <v>2</v>
      </c>
      <c r="L167" s="36">
        <v>1.35</v>
      </c>
    </row>
    <row r="168" spans="1:12" ht="27" customHeight="1">
      <c r="A168" s="251"/>
      <c r="B168" s="254"/>
      <c r="C168" s="60" t="s">
        <v>86</v>
      </c>
      <c r="D168" s="38" t="s">
        <v>87</v>
      </c>
      <c r="E168" s="40">
        <v>1</v>
      </c>
      <c r="F168" s="35">
        <v>1</v>
      </c>
      <c r="G168" s="35">
        <v>0</v>
      </c>
      <c r="H168" s="36">
        <v>0</v>
      </c>
      <c r="I168" s="36">
        <v>0</v>
      </c>
      <c r="J168" s="37">
        <v>0</v>
      </c>
      <c r="K168" s="37">
        <v>0.24</v>
      </c>
      <c r="L168" s="36">
        <v>3.0000000000000001E-3</v>
      </c>
    </row>
    <row r="169" spans="1:12" ht="27" customHeight="1">
      <c r="A169" s="43" t="s">
        <v>94</v>
      </c>
      <c r="B169" s="44"/>
      <c r="C169" s="60"/>
      <c r="D169" s="38"/>
      <c r="E169" s="40"/>
      <c r="F169" s="35"/>
      <c r="G169" s="35"/>
      <c r="H169" s="36"/>
      <c r="I169" s="36"/>
      <c r="J169" s="37"/>
      <c r="K169" s="37"/>
      <c r="L169" s="36"/>
    </row>
    <row r="170" spans="1:12">
      <c r="A170" s="281"/>
      <c r="B170" s="281"/>
      <c r="C170" s="281"/>
      <c r="D170" s="281"/>
      <c r="E170" s="281"/>
      <c r="F170" s="281"/>
      <c r="G170" s="281"/>
      <c r="H170" s="281"/>
      <c r="I170" s="281"/>
      <c r="J170" s="281"/>
      <c r="K170" s="281"/>
      <c r="L170" s="282"/>
    </row>
    <row r="171" spans="1:12" ht="15.75">
      <c r="A171" s="277" t="s">
        <v>98</v>
      </c>
      <c r="B171" s="278"/>
      <c r="C171" s="278"/>
      <c r="D171" s="278"/>
      <c r="E171" s="278"/>
      <c r="F171" s="279"/>
      <c r="G171" s="45">
        <f t="shared" ref="G171:L171" si="13">SUM(G155:G168)</f>
        <v>538.18299999999999</v>
      </c>
      <c r="H171" s="45">
        <f t="shared" si="13"/>
        <v>19.501650000000001</v>
      </c>
      <c r="I171" s="45">
        <f t="shared" si="13"/>
        <v>20.81785</v>
      </c>
      <c r="J171" s="45">
        <f t="shared" si="13"/>
        <v>66.017349999999993</v>
      </c>
      <c r="K171" s="45">
        <f t="shared" si="13"/>
        <v>149.13500000000002</v>
      </c>
      <c r="L171" s="45">
        <f t="shared" si="13"/>
        <v>2.0258500000000002</v>
      </c>
    </row>
    <row r="172" spans="1:12" ht="15.75">
      <c r="A172" s="277" t="s">
        <v>99</v>
      </c>
      <c r="B172" s="278"/>
      <c r="C172" s="278"/>
      <c r="D172" s="278"/>
      <c r="E172" s="278"/>
      <c r="F172" s="279"/>
      <c r="G172" s="46">
        <v>2245</v>
      </c>
      <c r="H172" s="46">
        <v>78.5</v>
      </c>
      <c r="I172" s="46">
        <v>74.8</v>
      </c>
      <c r="J172" s="46">
        <v>314.3</v>
      </c>
      <c r="K172" s="46">
        <v>1100</v>
      </c>
      <c r="L172" s="46">
        <v>8.6999999999999993</v>
      </c>
    </row>
    <row r="173" spans="1:12" ht="15.75">
      <c r="A173" s="277" t="s">
        <v>100</v>
      </c>
      <c r="B173" s="278"/>
      <c r="C173" s="278"/>
      <c r="D173" s="278"/>
      <c r="E173" s="278"/>
      <c r="F173" s="279"/>
      <c r="G173" s="47">
        <f t="shared" ref="G173:L173" si="14">G171/G172</f>
        <v>0.23972516703786192</v>
      </c>
      <c r="H173" s="47">
        <f t="shared" si="14"/>
        <v>0.2484286624203822</v>
      </c>
      <c r="I173" s="47">
        <f t="shared" si="14"/>
        <v>0.27831350267379679</v>
      </c>
      <c r="J173" s="47">
        <f t="shared" si="14"/>
        <v>0.21004565701559016</v>
      </c>
      <c r="K173" s="47">
        <f t="shared" si="14"/>
        <v>0.13557727272727274</v>
      </c>
      <c r="L173" s="47">
        <f t="shared" si="14"/>
        <v>0.2328563218390805</v>
      </c>
    </row>
    <row r="174" spans="1:12">
      <c r="A174" s="280"/>
      <c r="B174" s="281"/>
      <c r="C174" s="281"/>
      <c r="D174" s="281"/>
      <c r="E174" s="281"/>
      <c r="F174" s="281"/>
      <c r="G174" s="281"/>
      <c r="H174" s="281"/>
      <c r="I174" s="281"/>
      <c r="J174" s="281"/>
      <c r="K174" s="281"/>
      <c r="L174" s="282"/>
    </row>
    <row r="175" spans="1:12" ht="15.75">
      <c r="A175" s="259" t="s">
        <v>101</v>
      </c>
      <c r="B175" s="260"/>
      <c r="C175" s="260"/>
      <c r="D175" s="260"/>
      <c r="E175" s="260"/>
      <c r="F175" s="261"/>
      <c r="G175" s="245" t="s">
        <v>176</v>
      </c>
      <c r="H175" s="246"/>
      <c r="I175" s="246"/>
      <c r="J175" s="246"/>
      <c r="K175" s="246"/>
      <c r="L175" s="247"/>
    </row>
    <row r="176" spans="1:12" ht="36.75" customHeight="1">
      <c r="A176" s="50" t="s">
        <v>103</v>
      </c>
      <c r="B176" s="257"/>
      <c r="C176" s="257"/>
      <c r="D176" s="257"/>
      <c r="E176" s="257"/>
      <c r="F176" s="257"/>
      <c r="G176" s="283" t="s">
        <v>104</v>
      </c>
      <c r="H176" s="283"/>
      <c r="I176" s="283"/>
      <c r="J176" s="292" t="str">
        <f t="shared" ref="J176" si="15">$J$30</f>
        <v>MND 1192925014</v>
      </c>
      <c r="K176" s="293"/>
      <c r="L176" s="294"/>
    </row>
    <row r="177" spans="1:12">
      <c r="A177" s="304"/>
      <c r="B177" s="304"/>
      <c r="C177" s="304"/>
      <c r="D177" s="304"/>
      <c r="E177" s="304"/>
      <c r="F177" s="304"/>
      <c r="G177" s="304"/>
      <c r="H177" s="304"/>
      <c r="I177" s="304"/>
      <c r="J177" s="304"/>
      <c r="K177" s="304"/>
      <c r="L177" s="304"/>
    </row>
    <row r="178" spans="1:12">
      <c r="A178" s="306" t="s">
        <v>177</v>
      </c>
      <c r="B178" s="307"/>
      <c r="C178" s="307"/>
      <c r="D178" s="307"/>
      <c r="E178" s="307"/>
      <c r="F178" s="307"/>
      <c r="G178" s="307"/>
      <c r="H178" s="307"/>
      <c r="I178" s="307"/>
      <c r="J178" s="307"/>
      <c r="K178" s="307"/>
      <c r="L178" s="308"/>
    </row>
    <row r="179" spans="1:12" ht="15" customHeight="1">
      <c r="A179" s="231" t="s">
        <v>55</v>
      </c>
      <c r="B179" s="233" t="s">
        <v>56</v>
      </c>
      <c r="C179" s="235" t="s">
        <v>57</v>
      </c>
      <c r="D179" s="233" t="s">
        <v>58</v>
      </c>
      <c r="E179" s="237" t="s">
        <v>59</v>
      </c>
      <c r="F179" s="237" t="s">
        <v>60</v>
      </c>
      <c r="G179" s="269" t="s">
        <v>61</v>
      </c>
      <c r="H179" s="270"/>
      <c r="I179" s="270"/>
      <c r="J179" s="270"/>
      <c r="K179" s="270"/>
      <c r="L179" s="271"/>
    </row>
    <row r="180" spans="1:12" ht="22.5">
      <c r="A180" s="255"/>
      <c r="B180" s="262"/>
      <c r="C180" s="263"/>
      <c r="D180" s="262"/>
      <c r="E180" s="264"/>
      <c r="F180" s="264"/>
      <c r="G180" s="51" t="s">
        <v>62</v>
      </c>
      <c r="H180" s="31" t="s">
        <v>63</v>
      </c>
      <c r="I180" s="31" t="s">
        <v>64</v>
      </c>
      <c r="J180" s="31" t="s">
        <v>65</v>
      </c>
      <c r="K180" s="31" t="s">
        <v>66</v>
      </c>
      <c r="L180" s="31" t="s">
        <v>67</v>
      </c>
    </row>
    <row r="181" spans="1:12" ht="17.25" customHeight="1">
      <c r="A181" s="265" t="s">
        <v>107</v>
      </c>
      <c r="B181" s="267" t="s">
        <v>178</v>
      </c>
      <c r="C181" s="60" t="s">
        <v>179</v>
      </c>
      <c r="D181" s="38" t="s">
        <v>180</v>
      </c>
      <c r="E181" s="39">
        <v>15</v>
      </c>
      <c r="F181" s="35">
        <v>15</v>
      </c>
      <c r="G181" s="35">
        <v>54.45</v>
      </c>
      <c r="H181" s="36">
        <v>1.41</v>
      </c>
      <c r="I181" s="36">
        <v>0.56999999999999995</v>
      </c>
      <c r="J181" s="37">
        <v>10.83</v>
      </c>
      <c r="K181" s="37">
        <v>0.6</v>
      </c>
      <c r="L181" s="36">
        <v>0.36</v>
      </c>
    </row>
    <row r="182" spans="1:12" ht="15" customHeight="1">
      <c r="A182" s="266"/>
      <c r="B182" s="268"/>
      <c r="C182" s="60" t="s">
        <v>74</v>
      </c>
      <c r="D182" s="38" t="s">
        <v>75</v>
      </c>
      <c r="E182" s="39">
        <v>10</v>
      </c>
      <c r="F182" s="35">
        <v>10</v>
      </c>
      <c r="G182" s="35">
        <v>39.700000000000003</v>
      </c>
      <c r="H182" s="36">
        <v>0</v>
      </c>
      <c r="I182" s="36">
        <v>0</v>
      </c>
      <c r="J182" s="37">
        <v>9.93</v>
      </c>
      <c r="K182" s="37">
        <v>0</v>
      </c>
      <c r="L182" s="36">
        <v>0.01</v>
      </c>
    </row>
    <row r="183" spans="1:12" ht="18" customHeight="1">
      <c r="A183" s="235" t="s">
        <v>76</v>
      </c>
      <c r="B183" s="267" t="s">
        <v>181</v>
      </c>
      <c r="C183" s="60" t="s">
        <v>182</v>
      </c>
      <c r="D183" s="38" t="s">
        <v>183</v>
      </c>
      <c r="E183" s="39">
        <v>50</v>
      </c>
      <c r="F183" s="35">
        <v>50</v>
      </c>
      <c r="G183" s="35">
        <v>193</v>
      </c>
      <c r="H183" s="36">
        <v>11.4</v>
      </c>
      <c r="I183" s="36">
        <v>0.75</v>
      </c>
      <c r="J183" s="37">
        <v>30.2</v>
      </c>
      <c r="K183" s="37">
        <v>59.5</v>
      </c>
      <c r="L183" s="36">
        <v>2.65</v>
      </c>
    </row>
    <row r="184" spans="1:12">
      <c r="A184" s="263"/>
      <c r="B184" s="273"/>
      <c r="C184" s="60" t="s">
        <v>80</v>
      </c>
      <c r="D184" s="38" t="s">
        <v>81</v>
      </c>
      <c r="E184" s="39">
        <v>10</v>
      </c>
      <c r="F184" s="35">
        <v>9.5</v>
      </c>
      <c r="G184" s="35">
        <v>3.8</v>
      </c>
      <c r="H184" s="36">
        <v>0.13299999999999998</v>
      </c>
      <c r="I184" s="36">
        <v>9.5000000000000015E-3</v>
      </c>
      <c r="J184" s="37">
        <v>0.73150000000000004</v>
      </c>
      <c r="K184" s="37">
        <v>2.2799999999999998</v>
      </c>
      <c r="L184" s="36">
        <v>2.8500000000000001E-2</v>
      </c>
    </row>
    <row r="185" spans="1:12" ht="15.75" customHeight="1">
      <c r="A185" s="263"/>
      <c r="B185" s="273"/>
      <c r="C185" s="60" t="s">
        <v>82</v>
      </c>
      <c r="D185" s="38" t="s">
        <v>83</v>
      </c>
      <c r="E185" s="39">
        <v>10</v>
      </c>
      <c r="F185" s="35">
        <v>8</v>
      </c>
      <c r="G185" s="35">
        <v>1.84</v>
      </c>
      <c r="H185" s="36">
        <v>7.2000000000000008E-2</v>
      </c>
      <c r="I185" s="36">
        <v>8.0000000000000002E-3</v>
      </c>
      <c r="J185" s="37">
        <v>0.32799999999999996</v>
      </c>
      <c r="K185" s="37">
        <v>0.72</v>
      </c>
      <c r="L185" s="36">
        <v>0.04</v>
      </c>
    </row>
    <row r="186" spans="1:12" ht="15.75" customHeight="1">
      <c r="A186" s="263"/>
      <c r="B186" s="273"/>
      <c r="C186" s="60" t="s">
        <v>114</v>
      </c>
      <c r="D186" s="38" t="s">
        <v>115</v>
      </c>
      <c r="E186" s="39">
        <v>10</v>
      </c>
      <c r="F186" s="35">
        <v>4</v>
      </c>
      <c r="G186" s="35">
        <v>1.48</v>
      </c>
      <c r="H186" s="36">
        <v>4.8000000000000001E-2</v>
      </c>
      <c r="I186" s="36">
        <v>4.0000000000000001E-3</v>
      </c>
      <c r="J186" s="37">
        <v>0.27200000000000002</v>
      </c>
      <c r="K186" s="37">
        <v>2.2799999999999998</v>
      </c>
      <c r="L186" s="36">
        <v>0.02</v>
      </c>
    </row>
    <row r="187" spans="1:12" ht="15.75" customHeight="1">
      <c r="A187" s="263"/>
      <c r="B187" s="273"/>
      <c r="C187" s="60" t="s">
        <v>116</v>
      </c>
      <c r="D187" s="38" t="s">
        <v>117</v>
      </c>
      <c r="E187" s="39">
        <v>10</v>
      </c>
      <c r="F187" s="35">
        <v>8.5</v>
      </c>
      <c r="G187" s="35">
        <v>2.9750000000000001</v>
      </c>
      <c r="H187" s="36">
        <v>8.5000000000000006E-2</v>
      </c>
      <c r="I187" s="36">
        <v>2.5499999999999998E-2</v>
      </c>
      <c r="J187" s="37">
        <v>0.53549999999999998</v>
      </c>
      <c r="K187" s="37">
        <v>0.59499999999999997</v>
      </c>
      <c r="L187" s="36">
        <v>3.4000000000000002E-2</v>
      </c>
    </row>
    <row r="188" spans="1:12" ht="15.75" customHeight="1">
      <c r="A188" s="263"/>
      <c r="B188" s="273"/>
      <c r="C188" s="60" t="s">
        <v>84</v>
      </c>
      <c r="D188" s="52" t="s">
        <v>85</v>
      </c>
      <c r="E188" s="34">
        <v>1</v>
      </c>
      <c r="F188" s="35">
        <v>0.95</v>
      </c>
      <c r="G188" s="35">
        <v>1.3679999999999999</v>
      </c>
      <c r="H188" s="36">
        <v>4.4649999999999995E-2</v>
      </c>
      <c r="I188" s="36">
        <v>2.8499999999999997E-3</v>
      </c>
      <c r="J188" s="37">
        <v>0.27834999999999999</v>
      </c>
      <c r="K188" s="37">
        <v>0.38</v>
      </c>
      <c r="L188" s="36">
        <v>1.2349999999999998E-2</v>
      </c>
    </row>
    <row r="189" spans="1:12" ht="15.75" customHeight="1">
      <c r="A189" s="305"/>
      <c r="B189" s="268"/>
      <c r="C189" s="60" t="s">
        <v>88</v>
      </c>
      <c r="D189" s="52" t="s">
        <v>89</v>
      </c>
      <c r="E189" s="34">
        <v>5</v>
      </c>
      <c r="F189" s="35">
        <v>5</v>
      </c>
      <c r="G189" s="35">
        <v>45</v>
      </c>
      <c r="H189" s="36">
        <v>0</v>
      </c>
      <c r="I189" s="36">
        <v>5</v>
      </c>
      <c r="J189" s="37">
        <v>0</v>
      </c>
      <c r="K189" s="37">
        <v>0</v>
      </c>
      <c r="L189" s="36">
        <v>0</v>
      </c>
    </row>
    <row r="190" spans="1:12" ht="15.75" customHeight="1">
      <c r="A190" s="235" t="s">
        <v>90</v>
      </c>
      <c r="B190" s="286" t="s">
        <v>144</v>
      </c>
      <c r="C190" s="60" t="s">
        <v>145</v>
      </c>
      <c r="D190" s="38" t="s">
        <v>146</v>
      </c>
      <c r="E190" s="40">
        <v>1</v>
      </c>
      <c r="F190" s="35">
        <v>1</v>
      </c>
      <c r="G190" s="35">
        <v>3.53</v>
      </c>
      <c r="H190" s="36">
        <v>6.7000000000000004E-2</v>
      </c>
      <c r="I190" s="36">
        <v>4.0000000000000001E-3</v>
      </c>
      <c r="J190" s="37">
        <v>0.80099999999999993</v>
      </c>
      <c r="K190" s="37">
        <v>0.09</v>
      </c>
      <c r="L190" s="36">
        <v>8.0000000000000002E-3</v>
      </c>
    </row>
    <row r="191" spans="1:12">
      <c r="A191" s="263"/>
      <c r="B191" s="287"/>
      <c r="C191" s="60" t="s">
        <v>88</v>
      </c>
      <c r="D191" s="38" t="s">
        <v>89</v>
      </c>
      <c r="E191" s="39">
        <v>5</v>
      </c>
      <c r="F191" s="35">
        <v>5</v>
      </c>
      <c r="G191" s="35">
        <v>45</v>
      </c>
      <c r="H191" s="36">
        <v>0</v>
      </c>
      <c r="I191" s="36">
        <v>5</v>
      </c>
      <c r="J191" s="37">
        <v>0</v>
      </c>
      <c r="K191" s="37">
        <v>0</v>
      </c>
      <c r="L191" s="36">
        <v>0</v>
      </c>
    </row>
    <row r="192" spans="1:12">
      <c r="A192" s="263"/>
      <c r="B192" s="287"/>
      <c r="C192" s="60" t="s">
        <v>114</v>
      </c>
      <c r="D192" s="38" t="s">
        <v>115</v>
      </c>
      <c r="E192" s="39">
        <v>10</v>
      </c>
      <c r="F192" s="35">
        <v>4</v>
      </c>
      <c r="G192" s="35">
        <v>1.48</v>
      </c>
      <c r="H192" s="36">
        <v>4.8000000000000001E-2</v>
      </c>
      <c r="I192" s="36">
        <v>4.0000000000000001E-3</v>
      </c>
      <c r="J192" s="37">
        <v>0.27200000000000002</v>
      </c>
      <c r="K192" s="37">
        <v>2.2799999999999998</v>
      </c>
      <c r="L192" s="36">
        <v>0.02</v>
      </c>
    </row>
    <row r="193" spans="1:12">
      <c r="A193" s="263"/>
      <c r="B193" s="288"/>
      <c r="C193" s="60" t="s">
        <v>84</v>
      </c>
      <c r="D193" s="52" t="s">
        <v>85</v>
      </c>
      <c r="E193" s="34">
        <v>1</v>
      </c>
      <c r="F193" s="35">
        <v>0.95</v>
      </c>
      <c r="G193" s="35">
        <v>1.3679999999999999</v>
      </c>
      <c r="H193" s="36">
        <v>4.4649999999999995E-2</v>
      </c>
      <c r="I193" s="36">
        <v>2.8499999999999997E-3</v>
      </c>
      <c r="J193" s="37">
        <v>0.27834999999999999</v>
      </c>
      <c r="K193" s="37">
        <v>0.38</v>
      </c>
      <c r="L193" s="36">
        <v>1.2349999999999998E-2</v>
      </c>
    </row>
    <row r="194" spans="1:12" ht="15" customHeight="1">
      <c r="A194" s="263"/>
      <c r="B194" s="267" t="s">
        <v>184</v>
      </c>
      <c r="C194" s="60" t="s">
        <v>131</v>
      </c>
      <c r="D194" s="38" t="s">
        <v>132</v>
      </c>
      <c r="E194" s="40">
        <v>80</v>
      </c>
      <c r="F194" s="35">
        <v>48</v>
      </c>
      <c r="G194" s="35">
        <v>61.44</v>
      </c>
      <c r="H194" s="36">
        <v>0.62400000000000011</v>
      </c>
      <c r="I194" s="36">
        <v>4.8000000000000008E-2</v>
      </c>
      <c r="J194" s="37">
        <v>14.544</v>
      </c>
      <c r="K194" s="37">
        <v>1.92</v>
      </c>
      <c r="L194" s="36">
        <v>0.33599999999999997</v>
      </c>
    </row>
    <row r="195" spans="1:12">
      <c r="A195" s="263"/>
      <c r="B195" s="273"/>
      <c r="C195" s="60" t="s">
        <v>86</v>
      </c>
      <c r="D195" s="38" t="s">
        <v>87</v>
      </c>
      <c r="E195" s="40">
        <v>0.5</v>
      </c>
      <c r="F195" s="35">
        <v>0.5</v>
      </c>
      <c r="G195" s="35">
        <v>0</v>
      </c>
      <c r="H195" s="36">
        <v>0</v>
      </c>
      <c r="I195" s="36">
        <v>0</v>
      </c>
      <c r="J195" s="37">
        <v>0</v>
      </c>
      <c r="K195" s="37">
        <v>0.12</v>
      </c>
      <c r="L195" s="36">
        <v>1.5E-3</v>
      </c>
    </row>
    <row r="196" spans="1:12">
      <c r="A196" s="305"/>
      <c r="B196" s="268"/>
      <c r="C196" s="60" t="s">
        <v>88</v>
      </c>
      <c r="D196" s="38" t="s">
        <v>89</v>
      </c>
      <c r="E196" s="40">
        <v>5</v>
      </c>
      <c r="F196" s="35">
        <v>5</v>
      </c>
      <c r="G196" s="35">
        <v>45</v>
      </c>
      <c r="H196" s="36">
        <v>0</v>
      </c>
      <c r="I196" s="36">
        <v>5</v>
      </c>
      <c r="J196" s="37">
        <v>0</v>
      </c>
      <c r="K196" s="37">
        <v>0</v>
      </c>
      <c r="L196" s="36">
        <v>0</v>
      </c>
    </row>
    <row r="197" spans="1:12" ht="25.5">
      <c r="A197" s="43" t="s">
        <v>94</v>
      </c>
      <c r="B197" s="44"/>
      <c r="C197" s="74"/>
      <c r="D197" s="38"/>
      <c r="E197" s="40"/>
      <c r="F197" s="35"/>
      <c r="G197" s="35"/>
      <c r="H197" s="36"/>
      <c r="I197" s="36"/>
      <c r="J197" s="37"/>
      <c r="K197" s="37"/>
      <c r="L197" s="36"/>
    </row>
    <row r="198" spans="1:12">
      <c r="A198" s="281"/>
      <c r="B198" s="281"/>
      <c r="C198" s="281"/>
      <c r="D198" s="281"/>
      <c r="E198" s="281"/>
      <c r="F198" s="281"/>
      <c r="G198" s="281"/>
      <c r="H198" s="281"/>
      <c r="I198" s="281"/>
      <c r="J198" s="281"/>
      <c r="K198" s="281"/>
      <c r="L198" s="282"/>
    </row>
    <row r="199" spans="1:12" ht="15.75">
      <c r="A199" s="277" t="s">
        <v>98</v>
      </c>
      <c r="B199" s="278"/>
      <c r="C199" s="278"/>
      <c r="D199" s="278"/>
      <c r="E199" s="278"/>
      <c r="F199" s="279"/>
      <c r="G199" s="45">
        <f t="shared" ref="G199:L199" si="16">SUM(G181:G197)</f>
        <v>501.43099999999998</v>
      </c>
      <c r="H199" s="45">
        <f t="shared" si="16"/>
        <v>13.976300000000002</v>
      </c>
      <c r="I199" s="45">
        <f t="shared" si="16"/>
        <v>16.428699999999999</v>
      </c>
      <c r="J199" s="45">
        <f t="shared" si="16"/>
        <v>69.000699999999995</v>
      </c>
      <c r="K199" s="45">
        <f t="shared" si="16"/>
        <v>71.144999999999996</v>
      </c>
      <c r="L199" s="45">
        <f t="shared" si="16"/>
        <v>3.5327000000000002</v>
      </c>
    </row>
    <row r="200" spans="1:12" ht="15.75">
      <c r="A200" s="277" t="s">
        <v>99</v>
      </c>
      <c r="B200" s="278"/>
      <c r="C200" s="278"/>
      <c r="D200" s="278"/>
      <c r="E200" s="278"/>
      <c r="F200" s="279"/>
      <c r="G200" s="46">
        <v>2245</v>
      </c>
      <c r="H200" s="46">
        <v>78.5</v>
      </c>
      <c r="I200" s="46">
        <v>74.8</v>
      </c>
      <c r="J200" s="46">
        <v>314.3</v>
      </c>
      <c r="K200" s="46">
        <v>1100</v>
      </c>
      <c r="L200" s="46">
        <v>8.6999999999999993</v>
      </c>
    </row>
    <row r="201" spans="1:12" ht="15.75">
      <c r="A201" s="277" t="s">
        <v>100</v>
      </c>
      <c r="B201" s="278"/>
      <c r="C201" s="278"/>
      <c r="D201" s="278"/>
      <c r="E201" s="278"/>
      <c r="F201" s="279"/>
      <c r="G201" s="47">
        <f t="shared" ref="G201:L201" si="17">G199/G200</f>
        <v>0.22335456570155901</v>
      </c>
      <c r="H201" s="47">
        <f t="shared" si="17"/>
        <v>0.17804203821656053</v>
      </c>
      <c r="I201" s="47">
        <f t="shared" si="17"/>
        <v>0.21963502673796792</v>
      </c>
      <c r="J201" s="47">
        <f t="shared" si="17"/>
        <v>0.21953770283168944</v>
      </c>
      <c r="K201" s="47">
        <f t="shared" si="17"/>
        <v>6.4677272727272722E-2</v>
      </c>
      <c r="L201" s="47">
        <f t="shared" si="17"/>
        <v>0.40605747126436786</v>
      </c>
    </row>
    <row r="202" spans="1:12">
      <c r="A202" s="280"/>
      <c r="B202" s="281"/>
      <c r="C202" s="281"/>
      <c r="D202" s="281"/>
      <c r="E202" s="281"/>
      <c r="F202" s="281"/>
      <c r="G202" s="281"/>
      <c r="H202" s="281"/>
      <c r="I202" s="281"/>
      <c r="J202" s="281"/>
      <c r="K202" s="281"/>
      <c r="L202" s="282"/>
    </row>
    <row r="203" spans="1:12" ht="15.75">
      <c r="A203" s="259" t="s">
        <v>101</v>
      </c>
      <c r="B203" s="260"/>
      <c r="C203" s="260"/>
      <c r="D203" s="260"/>
      <c r="E203" s="260"/>
      <c r="F203" s="261"/>
      <c r="G203" s="245" t="s">
        <v>102</v>
      </c>
      <c r="H203" s="246"/>
      <c r="I203" s="246"/>
      <c r="J203" s="246"/>
      <c r="K203" s="246"/>
      <c r="L203" s="247"/>
    </row>
    <row r="204" spans="1:12" ht="34.5" customHeight="1">
      <c r="A204" s="50" t="s">
        <v>103</v>
      </c>
      <c r="B204" s="257"/>
      <c r="C204" s="257"/>
      <c r="D204" s="257"/>
      <c r="E204" s="257"/>
      <c r="F204" s="257"/>
      <c r="G204" s="283" t="s">
        <v>104</v>
      </c>
      <c r="H204" s="283"/>
      <c r="I204" s="283"/>
      <c r="J204" s="292" t="str">
        <f t="shared" ref="J204" si="18">$J$30</f>
        <v>MND 1192925014</v>
      </c>
      <c r="K204" s="293"/>
      <c r="L204" s="294"/>
    </row>
    <row r="205" spans="1:12">
      <c r="A205" s="304"/>
      <c r="B205" s="304"/>
      <c r="C205" s="304"/>
      <c r="D205" s="304"/>
      <c r="E205" s="304"/>
      <c r="F205" s="304"/>
      <c r="G205" s="304"/>
      <c r="H205" s="304"/>
      <c r="I205" s="304"/>
      <c r="J205" s="304"/>
      <c r="K205" s="304"/>
      <c r="L205" s="304"/>
    </row>
    <row r="206" spans="1:12">
      <c r="A206" s="306" t="s">
        <v>185</v>
      </c>
      <c r="B206" s="307"/>
      <c r="C206" s="307"/>
      <c r="D206" s="307"/>
      <c r="E206" s="307"/>
      <c r="F206" s="307"/>
      <c r="G206" s="307"/>
      <c r="H206" s="307"/>
      <c r="I206" s="307"/>
      <c r="J206" s="307"/>
      <c r="K206" s="307"/>
      <c r="L206" s="308"/>
    </row>
    <row r="207" spans="1:12" ht="15" customHeight="1">
      <c r="A207" s="231" t="s">
        <v>55</v>
      </c>
      <c r="B207" s="233" t="s">
        <v>56</v>
      </c>
      <c r="C207" s="235" t="s">
        <v>57</v>
      </c>
      <c r="D207" s="233" t="s">
        <v>58</v>
      </c>
      <c r="E207" s="237" t="s">
        <v>59</v>
      </c>
      <c r="F207" s="237" t="s">
        <v>60</v>
      </c>
      <c r="G207" s="269" t="s">
        <v>61</v>
      </c>
      <c r="H207" s="270"/>
      <c r="I207" s="270"/>
      <c r="J207" s="270"/>
      <c r="K207" s="270"/>
      <c r="L207" s="271"/>
    </row>
    <row r="208" spans="1:12" ht="22.5">
      <c r="A208" s="255"/>
      <c r="B208" s="262"/>
      <c r="C208" s="263"/>
      <c r="D208" s="262"/>
      <c r="E208" s="264"/>
      <c r="F208" s="264"/>
      <c r="G208" s="51" t="s">
        <v>62</v>
      </c>
      <c r="H208" s="31" t="s">
        <v>63</v>
      </c>
      <c r="I208" s="31" t="s">
        <v>64</v>
      </c>
      <c r="J208" s="31" t="s">
        <v>65</v>
      </c>
      <c r="K208" s="31" t="s">
        <v>66</v>
      </c>
      <c r="L208" s="31" t="s">
        <v>67</v>
      </c>
    </row>
    <row r="209" spans="1:12" ht="15" customHeight="1">
      <c r="A209" s="249" t="s">
        <v>107</v>
      </c>
      <c r="B209" s="252" t="s">
        <v>69</v>
      </c>
      <c r="C209" s="32" t="s">
        <v>70</v>
      </c>
      <c r="D209" s="38" t="s">
        <v>71</v>
      </c>
      <c r="E209" s="39">
        <v>13</v>
      </c>
      <c r="F209" s="35">
        <v>13</v>
      </c>
      <c r="G209" s="35">
        <v>64.87</v>
      </c>
      <c r="H209" s="36">
        <v>3.4190000000000005</v>
      </c>
      <c r="I209" s="36">
        <v>3.4580000000000002</v>
      </c>
      <c r="J209" s="37">
        <v>4.992</v>
      </c>
      <c r="K209" s="37">
        <v>122.2</v>
      </c>
      <c r="L209" s="36">
        <v>6.5000000000000002E-2</v>
      </c>
    </row>
    <row r="210" spans="1:12" ht="15" customHeight="1">
      <c r="A210" s="250"/>
      <c r="B210" s="253"/>
      <c r="C210" s="32" t="s">
        <v>72</v>
      </c>
      <c r="D210" s="38" t="s">
        <v>73</v>
      </c>
      <c r="E210" s="39">
        <v>15</v>
      </c>
      <c r="F210" s="35">
        <v>15</v>
      </c>
      <c r="G210" s="35">
        <v>52.05</v>
      </c>
      <c r="H210" s="36">
        <v>1.32</v>
      </c>
      <c r="I210" s="36">
        <v>0.12</v>
      </c>
      <c r="J210" s="37">
        <v>11.4</v>
      </c>
      <c r="K210" s="37">
        <v>1.05</v>
      </c>
      <c r="L210" s="36">
        <v>0.315</v>
      </c>
    </row>
    <row r="211" spans="1:12" ht="15" customHeight="1">
      <c r="A211" s="251"/>
      <c r="B211" s="254"/>
      <c r="C211" s="32" t="s">
        <v>74</v>
      </c>
      <c r="D211" s="38" t="s">
        <v>75</v>
      </c>
      <c r="E211" s="39">
        <v>10</v>
      </c>
      <c r="F211" s="35">
        <v>10</v>
      </c>
      <c r="G211" s="35">
        <v>39.700000000000003</v>
      </c>
      <c r="H211" s="36">
        <v>0</v>
      </c>
      <c r="I211" s="36">
        <v>0</v>
      </c>
      <c r="J211" s="37">
        <v>9.93</v>
      </c>
      <c r="K211" s="37">
        <v>0</v>
      </c>
      <c r="L211" s="36">
        <v>0.01</v>
      </c>
    </row>
    <row r="212" spans="1:12" ht="15.75" customHeight="1">
      <c r="A212" s="233" t="s">
        <v>76</v>
      </c>
      <c r="B212" s="252" t="s">
        <v>186</v>
      </c>
      <c r="C212" s="32" t="s">
        <v>78</v>
      </c>
      <c r="D212" s="38" t="s">
        <v>79</v>
      </c>
      <c r="E212" s="40">
        <v>55</v>
      </c>
      <c r="F212" s="35">
        <v>49.5</v>
      </c>
      <c r="G212" s="35">
        <v>73.754999999999995</v>
      </c>
      <c r="H212" s="36">
        <v>6.2369999999999992</v>
      </c>
      <c r="I212" s="36">
        <v>5.3460000000000001</v>
      </c>
      <c r="J212" s="37">
        <v>0.14849999999999999</v>
      </c>
      <c r="K212" s="37">
        <v>26.234999999999999</v>
      </c>
      <c r="L212" s="36">
        <v>0.84149999999999991</v>
      </c>
    </row>
    <row r="213" spans="1:12">
      <c r="A213" s="262"/>
      <c r="B213" s="253"/>
      <c r="C213" s="32" t="s">
        <v>80</v>
      </c>
      <c r="D213" s="75" t="s">
        <v>81</v>
      </c>
      <c r="E213" s="75">
        <v>10</v>
      </c>
      <c r="F213" s="35">
        <v>9.5</v>
      </c>
      <c r="G213" s="35">
        <v>3.8</v>
      </c>
      <c r="H213" s="36">
        <v>0.13299999999999998</v>
      </c>
      <c r="I213" s="36">
        <v>9.5000000000000015E-3</v>
      </c>
      <c r="J213" s="37">
        <v>0.73150000000000004</v>
      </c>
      <c r="K213" s="37">
        <v>2.2799999999999998</v>
      </c>
      <c r="L213" s="36">
        <v>2.8500000000000001E-2</v>
      </c>
    </row>
    <row r="214" spans="1:12">
      <c r="A214" s="262"/>
      <c r="B214" s="253"/>
      <c r="C214" s="32" t="s">
        <v>82</v>
      </c>
      <c r="D214" s="38" t="s">
        <v>83</v>
      </c>
      <c r="E214" s="75">
        <v>10</v>
      </c>
      <c r="F214" s="35">
        <v>8</v>
      </c>
      <c r="G214" s="35">
        <v>1.84</v>
      </c>
      <c r="H214" s="36">
        <v>7.2000000000000008E-2</v>
      </c>
      <c r="I214" s="36">
        <v>8.0000000000000002E-3</v>
      </c>
      <c r="J214" s="37">
        <v>0.32799999999999996</v>
      </c>
      <c r="K214" s="37">
        <v>0.72</v>
      </c>
      <c r="L214" s="36">
        <v>0.04</v>
      </c>
    </row>
    <row r="215" spans="1:12">
      <c r="A215" s="262"/>
      <c r="B215" s="253"/>
      <c r="C215" s="32" t="s">
        <v>84</v>
      </c>
      <c r="D215" s="38" t="s">
        <v>85</v>
      </c>
      <c r="E215" s="39">
        <v>1</v>
      </c>
      <c r="F215" s="35">
        <v>0.95</v>
      </c>
      <c r="G215" s="35">
        <v>1.3679999999999999</v>
      </c>
      <c r="H215" s="36">
        <v>4.4649999999999995E-2</v>
      </c>
      <c r="I215" s="36">
        <v>2.8499999999999997E-3</v>
      </c>
      <c r="J215" s="37">
        <v>0.27834999999999999</v>
      </c>
      <c r="K215" s="37">
        <v>0.38</v>
      </c>
      <c r="L215" s="36">
        <v>1.2349999999999998E-2</v>
      </c>
    </row>
    <row r="216" spans="1:12">
      <c r="A216" s="262"/>
      <c r="B216" s="253"/>
      <c r="C216" s="32" t="s">
        <v>86</v>
      </c>
      <c r="D216" s="38" t="s">
        <v>87</v>
      </c>
      <c r="E216" s="39">
        <v>1</v>
      </c>
      <c r="F216" s="35">
        <v>1</v>
      </c>
      <c r="G216" s="35">
        <v>0</v>
      </c>
      <c r="H216" s="36">
        <v>0</v>
      </c>
      <c r="I216" s="36">
        <v>0</v>
      </c>
      <c r="J216" s="37">
        <v>0</v>
      </c>
      <c r="K216" s="37">
        <v>0.24</v>
      </c>
      <c r="L216" s="36">
        <v>3.0000000000000001E-3</v>
      </c>
    </row>
    <row r="217" spans="1:12">
      <c r="A217" s="311"/>
      <c r="B217" s="254"/>
      <c r="C217" s="32" t="s">
        <v>88</v>
      </c>
      <c r="D217" s="38" t="s">
        <v>89</v>
      </c>
      <c r="E217" s="39">
        <v>5</v>
      </c>
      <c r="F217" s="35">
        <v>5</v>
      </c>
      <c r="G217" s="35">
        <v>45</v>
      </c>
      <c r="H217" s="36">
        <v>0</v>
      </c>
      <c r="I217" s="36">
        <v>5</v>
      </c>
      <c r="J217" s="37">
        <v>0</v>
      </c>
      <c r="K217" s="37">
        <v>0</v>
      </c>
      <c r="L217" s="36">
        <v>0</v>
      </c>
    </row>
    <row r="218" spans="1:12" ht="15.75" customHeight="1">
      <c r="A218" s="231" t="s">
        <v>90</v>
      </c>
      <c r="B218" s="252" t="s">
        <v>187</v>
      </c>
      <c r="C218" s="32" t="s">
        <v>119</v>
      </c>
      <c r="D218" s="38" t="s">
        <v>120</v>
      </c>
      <c r="E218" s="39">
        <v>50</v>
      </c>
      <c r="F218" s="35">
        <v>50</v>
      </c>
      <c r="G218" s="35">
        <v>190</v>
      </c>
      <c r="H218" s="36">
        <v>4.55</v>
      </c>
      <c r="I218" s="36">
        <v>1.85</v>
      </c>
      <c r="J218" s="37">
        <v>36.950000000000003</v>
      </c>
      <c r="K218" s="37">
        <v>2</v>
      </c>
      <c r="L218" s="36">
        <v>1.35</v>
      </c>
    </row>
    <row r="219" spans="1:12">
      <c r="A219" s="256"/>
      <c r="B219" s="254"/>
      <c r="C219" s="32" t="s">
        <v>86</v>
      </c>
      <c r="D219" s="38" t="s">
        <v>87</v>
      </c>
      <c r="E219" s="40">
        <v>1</v>
      </c>
      <c r="F219" s="35">
        <v>1</v>
      </c>
      <c r="G219" s="35">
        <v>0</v>
      </c>
      <c r="H219" s="36">
        <v>0</v>
      </c>
      <c r="I219" s="36">
        <v>0</v>
      </c>
      <c r="J219" s="37">
        <v>0</v>
      </c>
      <c r="K219" s="37">
        <v>0.24</v>
      </c>
      <c r="L219" s="36">
        <v>3.0000000000000001E-3</v>
      </c>
    </row>
    <row r="220" spans="1:12" ht="24" customHeight="1">
      <c r="A220" s="43" t="s">
        <v>94</v>
      </c>
      <c r="B220" s="44" t="s">
        <v>188</v>
      </c>
      <c r="C220" s="32" t="s">
        <v>161</v>
      </c>
      <c r="D220" s="76" t="s">
        <v>162</v>
      </c>
      <c r="E220" s="34">
        <v>27</v>
      </c>
      <c r="F220" s="35">
        <v>27</v>
      </c>
      <c r="G220" s="35">
        <v>125.55</v>
      </c>
      <c r="H220" s="36">
        <v>2.2680000000000002</v>
      </c>
      <c r="I220" s="36">
        <v>4.6440000000000001</v>
      </c>
      <c r="J220" s="37">
        <v>18.414000000000001</v>
      </c>
      <c r="K220" s="37">
        <v>28.89</v>
      </c>
      <c r="L220" s="36">
        <v>0.67500000000000004</v>
      </c>
    </row>
    <row r="221" spans="1:12">
      <c r="A221" s="309"/>
      <c r="B221" s="309"/>
      <c r="C221" s="309"/>
      <c r="D221" s="309"/>
      <c r="E221" s="309"/>
      <c r="F221" s="309"/>
      <c r="G221" s="309"/>
      <c r="H221" s="309"/>
      <c r="I221" s="309"/>
      <c r="J221" s="309"/>
      <c r="K221" s="309"/>
      <c r="L221" s="310"/>
    </row>
    <row r="222" spans="1:12" ht="15.75">
      <c r="A222" s="277" t="s">
        <v>98</v>
      </c>
      <c r="B222" s="278"/>
      <c r="C222" s="278"/>
      <c r="D222" s="278"/>
      <c r="E222" s="278"/>
      <c r="F222" s="279"/>
      <c r="G222" s="45">
        <f>SUM(G208:G221)</f>
        <v>597.93299999999999</v>
      </c>
      <c r="H222" s="45">
        <f t="shared" ref="H222:L222" si="19">SUM(H208:H221)</f>
        <v>18.04365</v>
      </c>
      <c r="I222" s="45">
        <f t="shared" si="19"/>
        <v>20.43835</v>
      </c>
      <c r="J222" s="45">
        <f t="shared" si="19"/>
        <v>83.172350000000009</v>
      </c>
      <c r="K222" s="45">
        <f t="shared" si="19"/>
        <v>184.23500000000001</v>
      </c>
      <c r="L222" s="45">
        <f t="shared" si="19"/>
        <v>3.34335</v>
      </c>
    </row>
    <row r="223" spans="1:12" ht="15.75">
      <c r="A223" s="277" t="s">
        <v>99</v>
      </c>
      <c r="B223" s="278"/>
      <c r="C223" s="278"/>
      <c r="D223" s="278"/>
      <c r="E223" s="278"/>
      <c r="F223" s="279"/>
      <c r="G223" s="46">
        <v>2245</v>
      </c>
      <c r="H223" s="46">
        <v>78.5</v>
      </c>
      <c r="I223" s="46">
        <v>74.8</v>
      </c>
      <c r="J223" s="46">
        <v>314.3</v>
      </c>
      <c r="K223" s="46">
        <v>1100</v>
      </c>
      <c r="L223" s="46">
        <v>8.6999999999999993</v>
      </c>
    </row>
    <row r="224" spans="1:12" ht="15.75">
      <c r="A224" s="277" t="s">
        <v>100</v>
      </c>
      <c r="B224" s="278"/>
      <c r="C224" s="278"/>
      <c r="D224" s="278"/>
      <c r="E224" s="278"/>
      <c r="F224" s="279"/>
      <c r="G224" s="47">
        <f t="shared" ref="G224:L224" si="20">G222/G223</f>
        <v>0.26633986636971047</v>
      </c>
      <c r="H224" s="47">
        <f t="shared" si="20"/>
        <v>0.22985541401273885</v>
      </c>
      <c r="I224" s="48">
        <f t="shared" si="20"/>
        <v>0.27323997326203209</v>
      </c>
      <c r="J224" s="48">
        <f t="shared" si="20"/>
        <v>0.26462726694241173</v>
      </c>
      <c r="K224" s="48">
        <f t="shared" si="20"/>
        <v>0.16748636363636366</v>
      </c>
      <c r="L224" s="48">
        <f t="shared" si="20"/>
        <v>0.38429310344827589</v>
      </c>
    </row>
    <row r="225" spans="1:12">
      <c r="A225" s="280"/>
      <c r="B225" s="281"/>
      <c r="C225" s="281"/>
      <c r="D225" s="281"/>
      <c r="E225" s="281"/>
      <c r="F225" s="281"/>
      <c r="G225" s="281"/>
      <c r="H225" s="281"/>
      <c r="I225" s="281"/>
      <c r="J225" s="281"/>
      <c r="K225" s="281"/>
      <c r="L225" s="282"/>
    </row>
    <row r="226" spans="1:12" ht="15.75">
      <c r="A226" s="289" t="s">
        <v>101</v>
      </c>
      <c r="B226" s="290"/>
      <c r="C226" s="290"/>
      <c r="D226" s="290"/>
      <c r="E226" s="290"/>
      <c r="F226" s="291"/>
      <c r="G226" s="245" t="s">
        <v>102</v>
      </c>
      <c r="H226" s="246"/>
      <c r="I226" s="246"/>
      <c r="J226" s="246"/>
      <c r="K226" s="246"/>
      <c r="L226" s="247"/>
    </row>
    <row r="227" spans="1:12" ht="34.5" customHeight="1">
      <c r="A227" s="50" t="s">
        <v>103</v>
      </c>
      <c r="B227" s="257"/>
      <c r="C227" s="257"/>
      <c r="D227" s="257"/>
      <c r="E227" s="257"/>
      <c r="F227" s="257"/>
      <c r="G227" s="283" t="s">
        <v>104</v>
      </c>
      <c r="H227" s="283"/>
      <c r="I227" s="283"/>
      <c r="J227" s="292" t="str">
        <f t="shared" ref="J227" si="21">$J$30</f>
        <v>MND 1192925014</v>
      </c>
      <c r="K227" s="293"/>
      <c r="L227" s="294"/>
    </row>
    <row r="228" spans="1:12">
      <c r="A228" s="304"/>
      <c r="B228" s="304"/>
      <c r="C228" s="304"/>
      <c r="D228" s="304"/>
      <c r="E228" s="304"/>
      <c r="F228" s="304"/>
      <c r="G228" s="304"/>
      <c r="H228" s="304"/>
      <c r="I228" s="304"/>
      <c r="J228" s="304"/>
      <c r="K228" s="304"/>
      <c r="L228" s="304"/>
    </row>
    <row r="229" spans="1:12">
      <c r="A229" s="227" t="s">
        <v>189</v>
      </c>
      <c r="B229" s="228"/>
      <c r="C229" s="228"/>
      <c r="D229" s="228"/>
      <c r="E229" s="228"/>
      <c r="F229" s="228"/>
      <c r="G229" s="228"/>
      <c r="H229" s="228"/>
      <c r="I229" s="228"/>
      <c r="J229" s="228"/>
      <c r="K229" s="228"/>
      <c r="L229" s="229"/>
    </row>
    <row r="230" spans="1:12" ht="15" customHeight="1">
      <c r="A230" s="231" t="s">
        <v>55</v>
      </c>
      <c r="B230" s="233" t="s">
        <v>56</v>
      </c>
      <c r="C230" s="235" t="s">
        <v>57</v>
      </c>
      <c r="D230" s="233" t="s">
        <v>58</v>
      </c>
      <c r="E230" s="237" t="s">
        <v>59</v>
      </c>
      <c r="F230" s="237" t="s">
        <v>60</v>
      </c>
      <c r="G230" s="269" t="s">
        <v>61</v>
      </c>
      <c r="H230" s="270"/>
      <c r="I230" s="270"/>
      <c r="J230" s="270"/>
      <c r="K230" s="270"/>
      <c r="L230" s="271"/>
    </row>
    <row r="231" spans="1:12" ht="22.5">
      <c r="A231" s="255"/>
      <c r="B231" s="262"/>
      <c r="C231" s="263"/>
      <c r="D231" s="262"/>
      <c r="E231" s="264"/>
      <c r="F231" s="264"/>
      <c r="G231" s="51" t="s">
        <v>62</v>
      </c>
      <c r="H231" s="31" t="s">
        <v>63</v>
      </c>
      <c r="I231" s="31" t="s">
        <v>64</v>
      </c>
      <c r="J231" s="31" t="s">
        <v>65</v>
      </c>
      <c r="K231" s="31" t="s">
        <v>66</v>
      </c>
      <c r="L231" s="31" t="s">
        <v>67</v>
      </c>
    </row>
    <row r="232" spans="1:12" ht="19.5" customHeight="1">
      <c r="A232" s="265" t="s">
        <v>107</v>
      </c>
      <c r="B232" s="267" t="s">
        <v>178</v>
      </c>
      <c r="C232" s="60" t="s">
        <v>179</v>
      </c>
      <c r="D232" s="38" t="s">
        <v>180</v>
      </c>
      <c r="E232" s="39">
        <v>15</v>
      </c>
      <c r="F232" s="35">
        <v>15</v>
      </c>
      <c r="G232" s="35">
        <v>54.45</v>
      </c>
      <c r="H232" s="36">
        <v>1.41</v>
      </c>
      <c r="I232" s="36">
        <v>0.56999999999999995</v>
      </c>
      <c r="J232" s="37">
        <v>10.83</v>
      </c>
      <c r="K232" s="37">
        <v>0.6</v>
      </c>
      <c r="L232" s="36">
        <v>0.36</v>
      </c>
    </row>
    <row r="233" spans="1:12" ht="19.5" customHeight="1">
      <c r="A233" s="266"/>
      <c r="B233" s="268"/>
      <c r="C233" s="60" t="s">
        <v>74</v>
      </c>
      <c r="D233" s="38" t="s">
        <v>75</v>
      </c>
      <c r="E233" s="39">
        <v>10</v>
      </c>
      <c r="F233" s="35">
        <v>10</v>
      </c>
      <c r="G233" s="35">
        <v>39.700000000000003</v>
      </c>
      <c r="H233" s="36">
        <v>0</v>
      </c>
      <c r="I233" s="36">
        <v>0</v>
      </c>
      <c r="J233" s="37">
        <v>9.93</v>
      </c>
      <c r="K233" s="37">
        <v>0</v>
      </c>
      <c r="L233" s="36">
        <v>0.01</v>
      </c>
    </row>
    <row r="234" spans="1:12" ht="15.75" customHeight="1">
      <c r="A234" s="235" t="s">
        <v>190</v>
      </c>
      <c r="B234" s="267" t="s">
        <v>191</v>
      </c>
      <c r="C234" s="60" t="s">
        <v>192</v>
      </c>
      <c r="D234" s="38" t="s">
        <v>193</v>
      </c>
      <c r="E234" s="39">
        <v>100</v>
      </c>
      <c r="F234" s="35">
        <v>65</v>
      </c>
      <c r="G234" s="35">
        <v>67.599999999999994</v>
      </c>
      <c r="H234" s="36">
        <v>13.39</v>
      </c>
      <c r="I234" s="36">
        <v>1.4950000000000001</v>
      </c>
      <c r="J234" s="37">
        <v>0.13</v>
      </c>
      <c r="K234" s="37">
        <v>8.4499999999999993</v>
      </c>
      <c r="L234" s="36">
        <v>1.82</v>
      </c>
    </row>
    <row r="235" spans="1:12" ht="15.75" customHeight="1">
      <c r="A235" s="263"/>
      <c r="B235" s="273"/>
      <c r="C235" s="60" t="s">
        <v>80</v>
      </c>
      <c r="D235" s="38" t="s">
        <v>81</v>
      </c>
      <c r="E235" s="39">
        <v>10</v>
      </c>
      <c r="F235" s="35">
        <v>9.5</v>
      </c>
      <c r="G235" s="35">
        <v>3.8</v>
      </c>
      <c r="H235" s="36">
        <v>0.13299999999999998</v>
      </c>
      <c r="I235" s="36">
        <v>9.5000000000000015E-3</v>
      </c>
      <c r="J235" s="37">
        <v>0.73150000000000004</v>
      </c>
      <c r="K235" s="37">
        <v>2.2799999999999998</v>
      </c>
      <c r="L235" s="36">
        <v>2.8500000000000001E-2</v>
      </c>
    </row>
    <row r="236" spans="1:12" ht="15.75" customHeight="1">
      <c r="A236" s="263"/>
      <c r="B236" s="273"/>
      <c r="C236" s="60" t="s">
        <v>114</v>
      </c>
      <c r="D236" s="38" t="s">
        <v>115</v>
      </c>
      <c r="E236" s="39">
        <v>10</v>
      </c>
      <c r="F236" s="35">
        <v>4</v>
      </c>
      <c r="G236" s="35">
        <v>1.48</v>
      </c>
      <c r="H236" s="36">
        <v>4.8000000000000001E-2</v>
      </c>
      <c r="I236" s="36">
        <v>4.0000000000000001E-3</v>
      </c>
      <c r="J236" s="37">
        <v>0.27200000000000002</v>
      </c>
      <c r="K236" s="37">
        <v>2.2799999999999998</v>
      </c>
      <c r="L236" s="36">
        <v>0.02</v>
      </c>
    </row>
    <row r="237" spans="1:12" ht="15.75" customHeight="1">
      <c r="A237" s="263"/>
      <c r="B237" s="273"/>
      <c r="C237" s="60" t="s">
        <v>82</v>
      </c>
      <c r="D237" s="38" t="s">
        <v>83</v>
      </c>
      <c r="E237" s="39">
        <v>10</v>
      </c>
      <c r="F237" s="35">
        <v>8</v>
      </c>
      <c r="G237" s="35">
        <v>1.84</v>
      </c>
      <c r="H237" s="36">
        <v>7.2000000000000008E-2</v>
      </c>
      <c r="I237" s="36">
        <v>8.0000000000000002E-3</v>
      </c>
      <c r="J237" s="37">
        <v>0.32799999999999996</v>
      </c>
      <c r="K237" s="37">
        <v>0.72</v>
      </c>
      <c r="L237" s="36">
        <v>0.04</v>
      </c>
    </row>
    <row r="238" spans="1:12" ht="15.75" customHeight="1">
      <c r="A238" s="263"/>
      <c r="B238" s="273"/>
      <c r="C238" s="60" t="s">
        <v>116</v>
      </c>
      <c r="D238" s="38" t="s">
        <v>117</v>
      </c>
      <c r="E238" s="39">
        <v>10</v>
      </c>
      <c r="F238" s="35">
        <v>8.5</v>
      </c>
      <c r="G238" s="35">
        <v>2.9750000000000001</v>
      </c>
      <c r="H238" s="36">
        <v>8.5000000000000006E-2</v>
      </c>
      <c r="I238" s="36">
        <v>2.5499999999999998E-2</v>
      </c>
      <c r="J238" s="37">
        <v>0.53549999999999998</v>
      </c>
      <c r="K238" s="37">
        <v>0.59499999999999997</v>
      </c>
      <c r="L238" s="36">
        <v>3.4000000000000002E-2</v>
      </c>
    </row>
    <row r="239" spans="1:12" ht="15.75" customHeight="1">
      <c r="A239" s="263"/>
      <c r="B239" s="273"/>
      <c r="C239" s="60" t="s">
        <v>84</v>
      </c>
      <c r="D239" s="52" t="s">
        <v>85</v>
      </c>
      <c r="E239" s="34">
        <v>1</v>
      </c>
      <c r="F239" s="35">
        <v>0.95</v>
      </c>
      <c r="G239" s="35">
        <v>1.3679999999999999</v>
      </c>
      <c r="H239" s="36">
        <v>4.4649999999999995E-2</v>
      </c>
      <c r="I239" s="36">
        <v>2.8499999999999997E-3</v>
      </c>
      <c r="J239" s="37">
        <v>0.27834999999999999</v>
      </c>
      <c r="K239" s="37">
        <v>0.38</v>
      </c>
      <c r="L239" s="36">
        <v>1.2349999999999998E-2</v>
      </c>
    </row>
    <row r="240" spans="1:12" ht="15.75" customHeight="1">
      <c r="A240" s="263"/>
      <c r="B240" s="273"/>
      <c r="C240" s="60" t="s">
        <v>86</v>
      </c>
      <c r="D240" s="38" t="s">
        <v>87</v>
      </c>
      <c r="E240" s="40">
        <v>1</v>
      </c>
      <c r="F240" s="35">
        <v>1</v>
      </c>
      <c r="G240" s="35">
        <v>0</v>
      </c>
      <c r="H240" s="36">
        <v>0</v>
      </c>
      <c r="I240" s="36">
        <v>0</v>
      </c>
      <c r="J240" s="37">
        <v>0</v>
      </c>
      <c r="K240" s="37">
        <v>0.24</v>
      </c>
      <c r="L240" s="36">
        <v>3.0000000000000001E-3</v>
      </c>
    </row>
    <row r="241" spans="1:12" ht="15.75" customHeight="1">
      <c r="A241" s="305"/>
      <c r="B241" s="268"/>
      <c r="C241" s="60" t="s">
        <v>88</v>
      </c>
      <c r="D241" s="38" t="s">
        <v>89</v>
      </c>
      <c r="E241" s="40">
        <v>5</v>
      </c>
      <c r="F241" s="35">
        <v>5</v>
      </c>
      <c r="G241" s="35">
        <v>45</v>
      </c>
      <c r="H241" s="36">
        <v>0</v>
      </c>
      <c r="I241" s="36">
        <v>5</v>
      </c>
      <c r="J241" s="37">
        <v>0</v>
      </c>
      <c r="K241" s="37">
        <v>0</v>
      </c>
      <c r="L241" s="36">
        <v>0</v>
      </c>
    </row>
    <row r="242" spans="1:12" ht="18.75" customHeight="1">
      <c r="A242" s="235" t="s">
        <v>90</v>
      </c>
      <c r="B242" s="267" t="s">
        <v>194</v>
      </c>
      <c r="C242" s="60" t="s">
        <v>145</v>
      </c>
      <c r="D242" s="38" t="s">
        <v>146</v>
      </c>
      <c r="E242" s="39">
        <v>45</v>
      </c>
      <c r="F242" s="35">
        <v>45</v>
      </c>
      <c r="G242" s="35">
        <v>158.85</v>
      </c>
      <c r="H242" s="36">
        <v>3.0150000000000001</v>
      </c>
      <c r="I242" s="36">
        <v>0.18</v>
      </c>
      <c r="J242" s="37">
        <v>36.044999999999995</v>
      </c>
      <c r="K242" s="37">
        <v>4.05</v>
      </c>
      <c r="L242" s="36">
        <v>0.36</v>
      </c>
    </row>
    <row r="243" spans="1:12">
      <c r="A243" s="263"/>
      <c r="B243" s="273"/>
      <c r="C243" s="60" t="s">
        <v>114</v>
      </c>
      <c r="D243" s="38" t="s">
        <v>115</v>
      </c>
      <c r="E243" s="39">
        <v>10</v>
      </c>
      <c r="F243" s="35">
        <v>4</v>
      </c>
      <c r="G243" s="35">
        <v>1.48</v>
      </c>
      <c r="H243" s="36">
        <v>4.8000000000000001E-2</v>
      </c>
      <c r="I243" s="36">
        <v>4.0000000000000001E-3</v>
      </c>
      <c r="J243" s="37">
        <v>0.27200000000000002</v>
      </c>
      <c r="K243" s="37">
        <v>2.2799999999999998</v>
      </c>
      <c r="L243" s="36">
        <v>0.02</v>
      </c>
    </row>
    <row r="244" spans="1:12" ht="15.75" customHeight="1">
      <c r="A244" s="263"/>
      <c r="B244" s="273"/>
      <c r="C244" s="60" t="s">
        <v>84</v>
      </c>
      <c r="D244" s="38" t="s">
        <v>85</v>
      </c>
      <c r="E244" s="39">
        <v>1</v>
      </c>
      <c r="F244" s="35">
        <v>0.95</v>
      </c>
      <c r="G244" s="35">
        <v>1.3679999999999999</v>
      </c>
      <c r="H244" s="36">
        <v>4.4649999999999995E-2</v>
      </c>
      <c r="I244" s="36">
        <v>2.8499999999999997E-3</v>
      </c>
      <c r="J244" s="37">
        <v>0.27834999999999999</v>
      </c>
      <c r="K244" s="37">
        <v>0.38</v>
      </c>
      <c r="L244" s="36">
        <v>1.2349999999999998E-2</v>
      </c>
    </row>
    <row r="245" spans="1:12" ht="13.5" customHeight="1">
      <c r="A245" s="263"/>
      <c r="B245" s="273"/>
      <c r="C245" s="60" t="s">
        <v>86</v>
      </c>
      <c r="D245" s="38" t="s">
        <v>87</v>
      </c>
      <c r="E245" s="40">
        <v>1</v>
      </c>
      <c r="F245" s="35">
        <v>1</v>
      </c>
      <c r="G245" s="35">
        <v>0</v>
      </c>
      <c r="H245" s="36">
        <v>0</v>
      </c>
      <c r="I245" s="36">
        <v>0</v>
      </c>
      <c r="J245" s="37">
        <v>0</v>
      </c>
      <c r="K245" s="37">
        <v>0.24</v>
      </c>
      <c r="L245" s="36">
        <v>3.0000000000000001E-3</v>
      </c>
    </row>
    <row r="246" spans="1:12" ht="12" customHeight="1">
      <c r="A246" s="263"/>
      <c r="B246" s="273"/>
      <c r="C246" s="60" t="s">
        <v>88</v>
      </c>
      <c r="D246" s="38" t="s">
        <v>89</v>
      </c>
      <c r="E246" s="39">
        <v>8</v>
      </c>
      <c r="F246" s="35">
        <v>8</v>
      </c>
      <c r="G246" s="35">
        <v>72</v>
      </c>
      <c r="H246" s="36">
        <v>0</v>
      </c>
      <c r="I246" s="36">
        <v>8</v>
      </c>
      <c r="J246" s="37">
        <v>0</v>
      </c>
      <c r="K246" s="37">
        <v>0</v>
      </c>
      <c r="L246" s="36">
        <v>0</v>
      </c>
    </row>
    <row r="247" spans="1:12" ht="15.75" customHeight="1">
      <c r="A247" s="305"/>
      <c r="B247" s="268"/>
      <c r="C247" s="60" t="s">
        <v>195</v>
      </c>
      <c r="D247" s="38" t="s">
        <v>196</v>
      </c>
      <c r="E247" s="39">
        <v>5</v>
      </c>
      <c r="F247" s="35">
        <v>5</v>
      </c>
      <c r="G247" s="35">
        <v>18.55</v>
      </c>
      <c r="H247" s="36">
        <v>0.65</v>
      </c>
      <c r="I247" s="36">
        <v>7.0000000000000007E-2</v>
      </c>
      <c r="J247" s="37">
        <v>3.74</v>
      </c>
      <c r="K247" s="37">
        <v>1.05</v>
      </c>
      <c r="L247" s="36">
        <v>0.05</v>
      </c>
    </row>
    <row r="248" spans="1:12" ht="25.5" customHeight="1">
      <c r="A248" s="43" t="s">
        <v>94</v>
      </c>
      <c r="B248" s="53"/>
      <c r="C248" s="60"/>
      <c r="D248" s="38"/>
      <c r="E248" s="39"/>
      <c r="F248" s="35"/>
      <c r="G248" s="35"/>
      <c r="H248" s="36"/>
      <c r="I248" s="36"/>
      <c r="J248" s="37"/>
      <c r="K248" s="37"/>
      <c r="L248" s="36"/>
    </row>
    <row r="249" spans="1:12">
      <c r="A249" s="281"/>
      <c r="B249" s="281"/>
      <c r="C249" s="281"/>
      <c r="D249" s="281"/>
      <c r="E249" s="281"/>
      <c r="F249" s="281"/>
      <c r="G249" s="281"/>
      <c r="H249" s="281"/>
      <c r="I249" s="281"/>
      <c r="J249" s="281"/>
      <c r="K249" s="281"/>
      <c r="L249" s="282"/>
    </row>
    <row r="250" spans="1:12" ht="15.75">
      <c r="A250" s="277" t="s">
        <v>98</v>
      </c>
      <c r="B250" s="278"/>
      <c r="C250" s="278"/>
      <c r="D250" s="278"/>
      <c r="E250" s="278"/>
      <c r="F250" s="279"/>
      <c r="G250" s="45">
        <f>SUM(G232:G249)</f>
        <v>470.46100000000001</v>
      </c>
      <c r="H250" s="45">
        <f>SUM(H231:H249)</f>
        <v>18.940299999999997</v>
      </c>
      <c r="I250" s="45">
        <f>SUM(I232:I249)</f>
        <v>15.371700000000001</v>
      </c>
      <c r="J250" s="45">
        <f>SUM(J231:J249)</f>
        <v>63.370699999999992</v>
      </c>
      <c r="K250" s="45">
        <f>SUM(K231:K249)</f>
        <v>23.544999999999998</v>
      </c>
      <c r="L250" s="45">
        <f>SUM(L231:L249)</f>
        <v>2.7732000000000001</v>
      </c>
    </row>
    <row r="251" spans="1:12" ht="15.75">
      <c r="A251" s="277" t="s">
        <v>99</v>
      </c>
      <c r="B251" s="278"/>
      <c r="C251" s="278"/>
      <c r="D251" s="278"/>
      <c r="E251" s="278"/>
      <c r="F251" s="279"/>
      <c r="G251" s="46">
        <v>2245</v>
      </c>
      <c r="H251" s="46">
        <v>78.5</v>
      </c>
      <c r="I251" s="46">
        <v>74.8</v>
      </c>
      <c r="J251" s="46">
        <v>314.3</v>
      </c>
      <c r="K251" s="46">
        <v>1100</v>
      </c>
      <c r="L251" s="46">
        <v>8.6999999999999993</v>
      </c>
    </row>
    <row r="252" spans="1:12" ht="15.75">
      <c r="A252" s="277" t="s">
        <v>100</v>
      </c>
      <c r="B252" s="278"/>
      <c r="C252" s="278"/>
      <c r="D252" s="278"/>
      <c r="E252" s="278"/>
      <c r="F252" s="279"/>
      <c r="G252" s="47">
        <f t="shared" ref="G252:L252" si="22">G250/G251</f>
        <v>0.20955946547884188</v>
      </c>
      <c r="H252" s="47">
        <f t="shared" si="22"/>
        <v>0.24127770700636939</v>
      </c>
      <c r="I252" s="48">
        <f t="shared" si="22"/>
        <v>0.20550401069518717</v>
      </c>
      <c r="J252" s="47">
        <f t="shared" si="22"/>
        <v>0.20162488068724146</v>
      </c>
      <c r="K252" s="47">
        <f t="shared" si="22"/>
        <v>2.1404545454545454E-2</v>
      </c>
      <c r="L252" s="47">
        <f t="shared" si="22"/>
        <v>0.31875862068965521</v>
      </c>
    </row>
    <row r="253" spans="1:12">
      <c r="A253" s="280"/>
      <c r="B253" s="281"/>
      <c r="C253" s="281"/>
      <c r="D253" s="281"/>
      <c r="E253" s="281"/>
      <c r="F253" s="281"/>
      <c r="G253" s="281"/>
      <c r="H253" s="281"/>
      <c r="I253" s="281"/>
      <c r="J253" s="281"/>
      <c r="K253" s="281"/>
      <c r="L253" s="282"/>
    </row>
    <row r="254" spans="1:12" ht="15.75">
      <c r="A254" s="259" t="s">
        <v>101</v>
      </c>
      <c r="B254" s="260"/>
      <c r="C254" s="260"/>
      <c r="D254" s="260"/>
      <c r="E254" s="260"/>
      <c r="F254" s="261"/>
      <c r="G254" s="245" t="s">
        <v>102</v>
      </c>
      <c r="H254" s="246"/>
      <c r="I254" s="246"/>
      <c r="J254" s="246"/>
      <c r="K254" s="246"/>
      <c r="L254" s="247"/>
    </row>
    <row r="255" spans="1:12" ht="30.75" customHeight="1">
      <c r="A255" s="50" t="s">
        <v>103</v>
      </c>
      <c r="B255" s="257"/>
      <c r="C255" s="257"/>
      <c r="D255" s="257"/>
      <c r="E255" s="257"/>
      <c r="F255" s="257"/>
      <c r="G255" s="283" t="s">
        <v>104</v>
      </c>
      <c r="H255" s="283"/>
      <c r="I255" s="283"/>
      <c r="J255" s="292" t="str">
        <f t="shared" ref="J255" si="23">$J$30</f>
        <v>MND 1192925014</v>
      </c>
      <c r="K255" s="293"/>
      <c r="L255" s="294"/>
    </row>
    <row r="256" spans="1:12">
      <c r="A256" s="304"/>
      <c r="B256" s="304"/>
      <c r="C256" s="304"/>
      <c r="D256" s="304"/>
      <c r="E256" s="304"/>
      <c r="F256" s="304"/>
      <c r="G256" s="304"/>
      <c r="H256" s="304"/>
      <c r="I256" s="304"/>
      <c r="J256" s="304"/>
      <c r="K256" s="304"/>
      <c r="L256" s="304"/>
    </row>
    <row r="257" spans="1:12">
      <c r="A257" s="227" t="s">
        <v>197</v>
      </c>
      <c r="B257" s="228"/>
      <c r="C257" s="228"/>
      <c r="D257" s="228"/>
      <c r="E257" s="228"/>
      <c r="F257" s="228"/>
      <c r="G257" s="228"/>
      <c r="H257" s="228"/>
      <c r="I257" s="228"/>
      <c r="J257" s="228"/>
      <c r="K257" s="228"/>
      <c r="L257" s="229"/>
    </row>
    <row r="258" spans="1:12" ht="15" customHeight="1">
      <c r="A258" s="231" t="s">
        <v>55</v>
      </c>
      <c r="B258" s="233" t="s">
        <v>56</v>
      </c>
      <c r="C258" s="235" t="s">
        <v>57</v>
      </c>
      <c r="D258" s="233" t="s">
        <v>58</v>
      </c>
      <c r="E258" s="237" t="s">
        <v>59</v>
      </c>
      <c r="F258" s="237" t="s">
        <v>60</v>
      </c>
      <c r="G258" s="269" t="s">
        <v>61</v>
      </c>
      <c r="H258" s="270"/>
      <c r="I258" s="270"/>
      <c r="J258" s="270"/>
      <c r="K258" s="270"/>
      <c r="L258" s="271"/>
    </row>
    <row r="259" spans="1:12" ht="22.5">
      <c r="A259" s="255"/>
      <c r="B259" s="262"/>
      <c r="C259" s="263"/>
      <c r="D259" s="262"/>
      <c r="E259" s="264"/>
      <c r="F259" s="264"/>
      <c r="G259" s="51" t="s">
        <v>62</v>
      </c>
      <c r="H259" s="31" t="s">
        <v>63</v>
      </c>
      <c r="I259" s="31" t="s">
        <v>64</v>
      </c>
      <c r="J259" s="31" t="s">
        <v>65</v>
      </c>
      <c r="K259" s="31" t="s">
        <v>66</v>
      </c>
      <c r="L259" s="31" t="s">
        <v>67</v>
      </c>
    </row>
    <row r="260" spans="1:12" ht="15.75" customHeight="1">
      <c r="A260" s="265" t="s">
        <v>107</v>
      </c>
      <c r="B260" s="267" t="s">
        <v>198</v>
      </c>
      <c r="C260" s="60" t="s">
        <v>179</v>
      </c>
      <c r="D260" s="38" t="s">
        <v>180</v>
      </c>
      <c r="E260" s="39">
        <v>15</v>
      </c>
      <c r="F260" s="35">
        <v>15</v>
      </c>
      <c r="G260" s="35">
        <v>54.45</v>
      </c>
      <c r="H260" s="36">
        <v>1.41</v>
      </c>
      <c r="I260" s="36">
        <v>0.56999999999999995</v>
      </c>
      <c r="J260" s="37">
        <v>10.83</v>
      </c>
      <c r="K260" s="37">
        <v>0.6</v>
      </c>
      <c r="L260" s="36">
        <v>0.36</v>
      </c>
    </row>
    <row r="261" spans="1:12" ht="15" customHeight="1">
      <c r="A261" s="266"/>
      <c r="B261" s="268"/>
      <c r="C261" s="60" t="s">
        <v>74</v>
      </c>
      <c r="D261" s="38" t="s">
        <v>75</v>
      </c>
      <c r="E261" s="39">
        <v>10</v>
      </c>
      <c r="F261" s="35">
        <v>10</v>
      </c>
      <c r="G261" s="35">
        <v>39.700000000000003</v>
      </c>
      <c r="H261" s="36">
        <v>0</v>
      </c>
      <c r="I261" s="36">
        <v>0</v>
      </c>
      <c r="J261" s="37">
        <v>9.93</v>
      </c>
      <c r="K261" s="37">
        <v>0</v>
      </c>
      <c r="L261" s="36">
        <v>0.01</v>
      </c>
    </row>
    <row r="262" spans="1:12" ht="15" customHeight="1">
      <c r="A262" s="235" t="s">
        <v>76</v>
      </c>
      <c r="B262" s="267" t="s">
        <v>199</v>
      </c>
      <c r="C262" s="60" t="s">
        <v>140</v>
      </c>
      <c r="D262" s="38" t="s">
        <v>141</v>
      </c>
      <c r="E262" s="39">
        <v>50</v>
      </c>
      <c r="F262" s="35">
        <v>50</v>
      </c>
      <c r="G262" s="35">
        <v>193.5</v>
      </c>
      <c r="H262" s="36">
        <v>11.55</v>
      </c>
      <c r="I262" s="36">
        <v>0.45</v>
      </c>
      <c r="J262" s="37">
        <v>30.5</v>
      </c>
      <c r="K262" s="37">
        <v>25.5</v>
      </c>
      <c r="L262" s="36">
        <v>3.6</v>
      </c>
    </row>
    <row r="263" spans="1:12">
      <c r="A263" s="263"/>
      <c r="B263" s="273"/>
      <c r="C263" s="60" t="s">
        <v>200</v>
      </c>
      <c r="D263" s="38" t="s">
        <v>201</v>
      </c>
      <c r="E263" s="39">
        <v>15</v>
      </c>
      <c r="F263" s="35">
        <v>15</v>
      </c>
      <c r="G263" s="35">
        <v>12</v>
      </c>
      <c r="H263" s="36">
        <v>0.33</v>
      </c>
      <c r="I263" s="36">
        <v>1.4999999999999999E-2</v>
      </c>
      <c r="J263" s="37">
        <v>2.5349999999999997</v>
      </c>
      <c r="K263" s="37">
        <v>1.8</v>
      </c>
      <c r="L263" s="36">
        <v>0.12</v>
      </c>
    </row>
    <row r="264" spans="1:12" ht="15.75" customHeight="1">
      <c r="A264" s="263"/>
      <c r="B264" s="273"/>
      <c r="C264" s="60" t="s">
        <v>80</v>
      </c>
      <c r="D264" s="38" t="s">
        <v>81</v>
      </c>
      <c r="E264" s="39">
        <v>10</v>
      </c>
      <c r="F264" s="35">
        <v>9.5</v>
      </c>
      <c r="G264" s="35">
        <v>3.8</v>
      </c>
      <c r="H264" s="36">
        <v>0.13299999999999998</v>
      </c>
      <c r="I264" s="36">
        <v>9.5000000000000015E-3</v>
      </c>
      <c r="J264" s="37">
        <v>0.73150000000000004</v>
      </c>
      <c r="K264" s="37">
        <v>2.2799999999999998</v>
      </c>
      <c r="L264" s="36">
        <v>2.8500000000000001E-2</v>
      </c>
    </row>
    <row r="265" spans="1:12" ht="15.75" customHeight="1">
      <c r="A265" s="263"/>
      <c r="B265" s="273"/>
      <c r="C265" s="60" t="s">
        <v>114</v>
      </c>
      <c r="D265" s="38" t="s">
        <v>115</v>
      </c>
      <c r="E265" s="39">
        <v>10</v>
      </c>
      <c r="F265" s="35">
        <v>4</v>
      </c>
      <c r="G265" s="35">
        <v>1.48</v>
      </c>
      <c r="H265" s="36">
        <v>4.8000000000000001E-2</v>
      </c>
      <c r="I265" s="36">
        <v>4.0000000000000001E-3</v>
      </c>
      <c r="J265" s="37">
        <v>0.27200000000000002</v>
      </c>
      <c r="K265" s="37">
        <v>2.2799999999999998</v>
      </c>
      <c r="L265" s="36">
        <v>0.02</v>
      </c>
    </row>
    <row r="266" spans="1:12" ht="15.75" customHeight="1">
      <c r="A266" s="263"/>
      <c r="B266" s="273"/>
      <c r="C266" s="60" t="s">
        <v>142</v>
      </c>
      <c r="D266" s="38" t="s">
        <v>143</v>
      </c>
      <c r="E266" s="39">
        <v>10</v>
      </c>
      <c r="F266" s="35">
        <v>8.5</v>
      </c>
      <c r="G266" s="35">
        <v>3.9950000000000001</v>
      </c>
      <c r="H266" s="36">
        <v>5.949999999999999E-2</v>
      </c>
      <c r="I266" s="36">
        <v>8.5000000000000006E-3</v>
      </c>
      <c r="J266" s="37">
        <v>0.8075</v>
      </c>
      <c r="K266" s="37">
        <v>2.2949999999999999</v>
      </c>
      <c r="L266" s="36">
        <v>3.4000000000000002E-2</v>
      </c>
    </row>
    <row r="267" spans="1:12" ht="15.75" customHeight="1">
      <c r="A267" s="263"/>
      <c r="B267" s="273"/>
      <c r="C267" s="60" t="s">
        <v>116</v>
      </c>
      <c r="D267" s="38" t="s">
        <v>117</v>
      </c>
      <c r="E267" s="39">
        <v>10</v>
      </c>
      <c r="F267" s="35">
        <v>8.5</v>
      </c>
      <c r="G267" s="35">
        <v>2.9750000000000001</v>
      </c>
      <c r="H267" s="36">
        <v>8.5000000000000006E-2</v>
      </c>
      <c r="I267" s="36">
        <v>2.5499999999999998E-2</v>
      </c>
      <c r="J267" s="37">
        <v>0.53549999999999998</v>
      </c>
      <c r="K267" s="37">
        <v>0.59499999999999997</v>
      </c>
      <c r="L267" s="36">
        <v>3.4000000000000002E-2</v>
      </c>
    </row>
    <row r="268" spans="1:12" ht="15.75" customHeight="1">
      <c r="A268" s="263"/>
      <c r="B268" s="273"/>
      <c r="C268" s="60" t="s">
        <v>84</v>
      </c>
      <c r="D268" s="52" t="s">
        <v>85</v>
      </c>
      <c r="E268" s="34">
        <v>1</v>
      </c>
      <c r="F268" s="35">
        <v>0.95</v>
      </c>
      <c r="G268" s="35">
        <v>1.3679999999999999</v>
      </c>
      <c r="H268" s="36">
        <v>4.4649999999999995E-2</v>
      </c>
      <c r="I268" s="36">
        <v>2.8499999999999997E-3</v>
      </c>
      <c r="J268" s="37">
        <v>0.27834999999999999</v>
      </c>
      <c r="K268" s="37">
        <v>0.38</v>
      </c>
      <c r="L268" s="36">
        <v>1.2349999999999998E-2</v>
      </c>
    </row>
    <row r="269" spans="1:12" ht="15.75" customHeight="1">
      <c r="A269" s="263"/>
      <c r="B269" s="273"/>
      <c r="C269" s="60" t="s">
        <v>88</v>
      </c>
      <c r="D269" s="52" t="s">
        <v>89</v>
      </c>
      <c r="E269" s="34">
        <v>10</v>
      </c>
      <c r="F269" s="35">
        <v>10</v>
      </c>
      <c r="G269" s="35">
        <v>90</v>
      </c>
      <c r="H269" s="36">
        <v>0</v>
      </c>
      <c r="I269" s="36">
        <v>10</v>
      </c>
      <c r="J269" s="37">
        <v>0</v>
      </c>
      <c r="K269" s="37">
        <v>0</v>
      </c>
      <c r="L269" s="36">
        <v>0</v>
      </c>
    </row>
    <row r="270" spans="1:12" ht="15.75" customHeight="1">
      <c r="A270" s="305"/>
      <c r="B270" s="268"/>
      <c r="C270" s="60" t="s">
        <v>86</v>
      </c>
      <c r="D270" s="38" t="s">
        <v>87</v>
      </c>
      <c r="E270" s="40">
        <v>1</v>
      </c>
      <c r="F270" s="35">
        <v>1</v>
      </c>
      <c r="G270" s="35">
        <v>0</v>
      </c>
      <c r="H270" s="36">
        <v>0</v>
      </c>
      <c r="I270" s="36">
        <v>0</v>
      </c>
      <c r="J270" s="37">
        <v>0</v>
      </c>
      <c r="K270" s="37">
        <v>0.24</v>
      </c>
      <c r="L270" s="36">
        <v>3.0000000000000001E-3</v>
      </c>
    </row>
    <row r="271" spans="1:12" ht="15.75" customHeight="1">
      <c r="A271" s="265" t="s">
        <v>90</v>
      </c>
      <c r="B271" s="267" t="s">
        <v>202</v>
      </c>
      <c r="C271" s="60" t="s">
        <v>145</v>
      </c>
      <c r="D271" s="38" t="s">
        <v>146</v>
      </c>
      <c r="E271" s="39">
        <v>50</v>
      </c>
      <c r="F271" s="35">
        <v>50</v>
      </c>
      <c r="G271" s="35">
        <v>176.5</v>
      </c>
      <c r="H271" s="36">
        <v>3.35</v>
      </c>
      <c r="I271" s="36">
        <v>0.2</v>
      </c>
      <c r="J271" s="37">
        <v>40.049999999999997</v>
      </c>
      <c r="K271" s="37">
        <v>4.5</v>
      </c>
      <c r="L271" s="36">
        <v>0.4</v>
      </c>
    </row>
    <row r="272" spans="1:12" ht="15.75" customHeight="1">
      <c r="A272" s="272"/>
      <c r="B272" s="273"/>
      <c r="C272" s="60" t="s">
        <v>142</v>
      </c>
      <c r="D272" s="77" t="s">
        <v>143</v>
      </c>
      <c r="E272" s="77">
        <v>15</v>
      </c>
      <c r="F272" s="35">
        <v>12.75</v>
      </c>
      <c r="G272" s="35">
        <v>5.9924999999999997</v>
      </c>
      <c r="H272" s="36">
        <v>8.9249999999999996E-2</v>
      </c>
      <c r="I272" s="36">
        <v>1.2750000000000001E-2</v>
      </c>
      <c r="J272" s="37">
        <v>1.2112499999999999</v>
      </c>
      <c r="K272" s="37">
        <v>3.4424999999999999</v>
      </c>
      <c r="L272" s="36">
        <v>5.1000000000000004E-2</v>
      </c>
    </row>
    <row r="273" spans="1:12" ht="15.75" customHeight="1">
      <c r="A273" s="272"/>
      <c r="B273" s="273"/>
      <c r="C273" s="60" t="s">
        <v>84</v>
      </c>
      <c r="D273" s="38" t="s">
        <v>85</v>
      </c>
      <c r="E273" s="39">
        <v>1</v>
      </c>
      <c r="F273" s="35">
        <v>0.95</v>
      </c>
      <c r="G273" s="35">
        <v>1.3679999999999999</v>
      </c>
      <c r="H273" s="36">
        <v>4.4649999999999995E-2</v>
      </c>
      <c r="I273" s="36">
        <v>2.8499999999999997E-3</v>
      </c>
      <c r="J273" s="37">
        <v>0.27834999999999999</v>
      </c>
      <c r="K273" s="37">
        <v>0.38</v>
      </c>
      <c r="L273" s="36">
        <v>1.2349999999999998E-2</v>
      </c>
    </row>
    <row r="274" spans="1:12" ht="15" customHeight="1">
      <c r="A274" s="272"/>
      <c r="B274" s="273"/>
      <c r="C274" s="60" t="s">
        <v>114</v>
      </c>
      <c r="D274" s="38" t="s">
        <v>115</v>
      </c>
      <c r="E274" s="40">
        <v>10</v>
      </c>
      <c r="F274" s="35">
        <v>4</v>
      </c>
      <c r="G274" s="35">
        <v>1.48</v>
      </c>
      <c r="H274" s="36">
        <v>4.8000000000000001E-2</v>
      </c>
      <c r="I274" s="36">
        <v>4.0000000000000001E-3</v>
      </c>
      <c r="J274" s="37">
        <v>0.27200000000000002</v>
      </c>
      <c r="K274" s="37">
        <v>2.2799999999999998</v>
      </c>
      <c r="L274" s="36">
        <v>0.02</v>
      </c>
    </row>
    <row r="275" spans="1:12" ht="15" customHeight="1">
      <c r="A275" s="272"/>
      <c r="B275" s="273"/>
      <c r="C275" s="60" t="s">
        <v>88</v>
      </c>
      <c r="D275" s="38" t="s">
        <v>89</v>
      </c>
      <c r="E275" s="40">
        <v>5</v>
      </c>
      <c r="F275" s="35">
        <v>5</v>
      </c>
      <c r="G275" s="35">
        <v>45</v>
      </c>
      <c r="H275" s="36">
        <v>0</v>
      </c>
      <c r="I275" s="36">
        <v>5</v>
      </c>
      <c r="J275" s="37">
        <v>0</v>
      </c>
      <c r="K275" s="37">
        <v>0</v>
      </c>
      <c r="L275" s="36">
        <v>0</v>
      </c>
    </row>
    <row r="276" spans="1:12" ht="15" customHeight="1">
      <c r="A276" s="266"/>
      <c r="B276" s="268"/>
      <c r="C276" s="60" t="s">
        <v>86</v>
      </c>
      <c r="D276" s="38" t="s">
        <v>87</v>
      </c>
      <c r="E276" s="39">
        <v>1</v>
      </c>
      <c r="F276" s="35">
        <v>1</v>
      </c>
      <c r="G276" s="35">
        <v>0</v>
      </c>
      <c r="H276" s="36">
        <v>0</v>
      </c>
      <c r="I276" s="36">
        <v>0</v>
      </c>
      <c r="J276" s="37">
        <v>0</v>
      </c>
      <c r="K276" s="37">
        <v>0.24</v>
      </c>
      <c r="L276" s="36">
        <v>3.0000000000000001E-3</v>
      </c>
    </row>
    <row r="277" spans="1:12" ht="24.75" customHeight="1">
      <c r="A277" s="43" t="s">
        <v>94</v>
      </c>
      <c r="B277" s="53"/>
      <c r="C277" s="60"/>
      <c r="D277" s="38"/>
      <c r="E277" s="39"/>
      <c r="F277" s="35"/>
      <c r="G277" s="35"/>
      <c r="H277" s="36"/>
      <c r="I277" s="36"/>
      <c r="J277" s="37"/>
      <c r="K277" s="37"/>
      <c r="L277" s="36"/>
    </row>
    <row r="278" spans="1:12">
      <c r="A278" s="281"/>
      <c r="B278" s="281"/>
      <c r="C278" s="281"/>
      <c r="D278" s="281"/>
      <c r="E278" s="281"/>
      <c r="F278" s="281"/>
      <c r="G278" s="281"/>
      <c r="H278" s="281"/>
      <c r="I278" s="281"/>
      <c r="J278" s="281"/>
      <c r="K278" s="281"/>
      <c r="L278" s="282"/>
    </row>
    <row r="279" spans="1:12" ht="15.75">
      <c r="A279" s="277" t="s">
        <v>98</v>
      </c>
      <c r="B279" s="278"/>
      <c r="C279" s="278"/>
      <c r="D279" s="278"/>
      <c r="E279" s="278"/>
      <c r="F279" s="279"/>
      <c r="G279" s="45">
        <f>SUM(G260:G278)</f>
        <v>633.60850000000005</v>
      </c>
      <c r="H279" s="45">
        <f>SUM(H259:H278)</f>
        <v>17.192050000000002</v>
      </c>
      <c r="I279" s="45">
        <f>SUM(I260:I278)</f>
        <v>16.304949999999998</v>
      </c>
      <c r="J279" s="45">
        <f>SUM(J259:J278)</f>
        <v>98.231449999999995</v>
      </c>
      <c r="K279" s="45">
        <f>SUM(K259:K278)</f>
        <v>46.812500000000014</v>
      </c>
      <c r="L279" s="45">
        <f>SUM(L259:L278)</f>
        <v>4.7081999999999988</v>
      </c>
    </row>
    <row r="280" spans="1:12" ht="15.75">
      <c r="A280" s="277" t="s">
        <v>99</v>
      </c>
      <c r="B280" s="278"/>
      <c r="C280" s="278"/>
      <c r="D280" s="278"/>
      <c r="E280" s="278"/>
      <c r="F280" s="279"/>
      <c r="G280" s="46">
        <v>2245</v>
      </c>
      <c r="H280" s="46">
        <v>78.5</v>
      </c>
      <c r="I280" s="46">
        <v>74.8</v>
      </c>
      <c r="J280" s="46">
        <v>314.3</v>
      </c>
      <c r="K280" s="46">
        <v>1100</v>
      </c>
      <c r="L280" s="46">
        <v>8.6999999999999993</v>
      </c>
    </row>
    <row r="281" spans="1:12" ht="15.75">
      <c r="A281" s="277" t="s">
        <v>100</v>
      </c>
      <c r="B281" s="278"/>
      <c r="C281" s="278"/>
      <c r="D281" s="278"/>
      <c r="E281" s="278"/>
      <c r="F281" s="279"/>
      <c r="G281" s="47">
        <f t="shared" ref="G281:L281" si="24">G279/G280</f>
        <v>0.28223095768374168</v>
      </c>
      <c r="H281" s="47">
        <f t="shared" si="24"/>
        <v>0.21900700636942677</v>
      </c>
      <c r="I281" s="48">
        <f t="shared" si="24"/>
        <v>0.21798061497326202</v>
      </c>
      <c r="J281" s="47">
        <f t="shared" si="24"/>
        <v>0.31254040725421567</v>
      </c>
      <c r="K281" s="47">
        <f t="shared" si="24"/>
        <v>4.2556818181818196E-2</v>
      </c>
      <c r="L281" s="47">
        <f t="shared" si="24"/>
        <v>0.54117241379310332</v>
      </c>
    </row>
    <row r="282" spans="1:12">
      <c r="A282" s="280"/>
      <c r="B282" s="281"/>
      <c r="C282" s="281"/>
      <c r="D282" s="281"/>
      <c r="E282" s="281"/>
      <c r="F282" s="281"/>
      <c r="G282" s="281"/>
      <c r="H282" s="281"/>
      <c r="I282" s="281"/>
      <c r="J282" s="281"/>
      <c r="K282" s="281"/>
      <c r="L282" s="282"/>
    </row>
    <row r="283" spans="1:12" ht="15.75">
      <c r="A283" s="259" t="s">
        <v>101</v>
      </c>
      <c r="B283" s="260"/>
      <c r="C283" s="260"/>
      <c r="D283" s="260"/>
      <c r="E283" s="260"/>
      <c r="F283" s="261"/>
      <c r="G283" s="245" t="s">
        <v>102</v>
      </c>
      <c r="H283" s="246"/>
      <c r="I283" s="246"/>
      <c r="J283" s="246"/>
      <c r="K283" s="246"/>
      <c r="L283" s="247"/>
    </row>
    <row r="284" spans="1:12" ht="33" customHeight="1">
      <c r="A284" s="50" t="s">
        <v>103</v>
      </c>
      <c r="B284" s="257"/>
      <c r="C284" s="257"/>
      <c r="D284" s="257"/>
      <c r="E284" s="257"/>
      <c r="F284" s="257"/>
      <c r="G284" s="283" t="s">
        <v>104</v>
      </c>
      <c r="H284" s="283"/>
      <c r="I284" s="283"/>
      <c r="J284" s="292" t="str">
        <f t="shared" ref="J284" si="25">$J$30</f>
        <v>MND 1192925014</v>
      </c>
      <c r="K284" s="293"/>
      <c r="L284" s="294"/>
    </row>
    <row r="285" spans="1:12" ht="15" customHeight="1">
      <c r="A285" s="304"/>
      <c r="B285" s="304"/>
      <c r="C285" s="304"/>
      <c r="D285" s="304"/>
      <c r="E285" s="304"/>
      <c r="F285" s="304"/>
      <c r="G285" s="304"/>
      <c r="H285" s="304"/>
      <c r="I285" s="304"/>
      <c r="J285" s="304"/>
      <c r="K285" s="304"/>
      <c r="L285" s="304"/>
    </row>
    <row r="286" spans="1:12">
      <c r="A286" s="227" t="s">
        <v>203</v>
      </c>
      <c r="B286" s="228"/>
      <c r="C286" s="228"/>
      <c r="D286" s="228"/>
      <c r="E286" s="228"/>
      <c r="F286" s="228"/>
      <c r="G286" s="228"/>
      <c r="H286" s="228"/>
      <c r="I286" s="228"/>
      <c r="J286" s="228"/>
      <c r="K286" s="228"/>
      <c r="L286" s="229"/>
    </row>
    <row r="287" spans="1:12" ht="15" customHeight="1">
      <c r="A287" s="231" t="s">
        <v>55</v>
      </c>
      <c r="B287" s="233" t="s">
        <v>56</v>
      </c>
      <c r="C287" s="235" t="s">
        <v>57</v>
      </c>
      <c r="D287" s="233" t="s">
        <v>58</v>
      </c>
      <c r="E287" s="237" t="s">
        <v>59</v>
      </c>
      <c r="F287" s="237" t="s">
        <v>60</v>
      </c>
      <c r="G287" s="269" t="s">
        <v>61</v>
      </c>
      <c r="H287" s="270"/>
      <c r="I287" s="270"/>
      <c r="J287" s="270"/>
      <c r="K287" s="270"/>
      <c r="L287" s="271"/>
    </row>
    <row r="288" spans="1:12" ht="22.5">
      <c r="A288" s="255"/>
      <c r="B288" s="262"/>
      <c r="C288" s="263"/>
      <c r="D288" s="262"/>
      <c r="E288" s="264"/>
      <c r="F288" s="264"/>
      <c r="G288" s="51" t="s">
        <v>62</v>
      </c>
      <c r="H288" s="31" t="s">
        <v>63</v>
      </c>
      <c r="I288" s="31" t="s">
        <v>64</v>
      </c>
      <c r="J288" s="31" t="s">
        <v>65</v>
      </c>
      <c r="K288" s="31" t="s">
        <v>66</v>
      </c>
      <c r="L288" s="31" t="s">
        <v>67</v>
      </c>
    </row>
    <row r="289" spans="1:12" ht="25.5" customHeight="1">
      <c r="A289" s="249" t="s">
        <v>107</v>
      </c>
      <c r="B289" s="312" t="s">
        <v>122</v>
      </c>
      <c r="C289" s="60" t="s">
        <v>70</v>
      </c>
      <c r="D289" s="78" t="s">
        <v>71</v>
      </c>
      <c r="E289" s="64">
        <v>13</v>
      </c>
      <c r="F289" s="35">
        <v>13</v>
      </c>
      <c r="G289" s="35">
        <v>64.87</v>
      </c>
      <c r="H289" s="36">
        <v>3.4190000000000005</v>
      </c>
      <c r="I289" s="36">
        <v>3.4580000000000002</v>
      </c>
      <c r="J289" s="37">
        <v>4.992</v>
      </c>
      <c r="K289" s="37">
        <v>122.2</v>
      </c>
      <c r="L289" s="36">
        <v>6.5000000000000002E-2</v>
      </c>
    </row>
    <row r="290" spans="1:12" ht="15" customHeight="1">
      <c r="A290" s="250"/>
      <c r="B290" s="313"/>
      <c r="C290" s="60" t="s">
        <v>123</v>
      </c>
      <c r="D290" s="78" t="s">
        <v>124</v>
      </c>
      <c r="E290" s="64">
        <v>13</v>
      </c>
      <c r="F290" s="35">
        <v>13</v>
      </c>
      <c r="G290" s="35">
        <v>53.43</v>
      </c>
      <c r="H290" s="36">
        <v>2.1970000000000001</v>
      </c>
      <c r="I290" s="36">
        <v>0.97499999999999998</v>
      </c>
      <c r="J290" s="37">
        <v>8.3330000000000002</v>
      </c>
      <c r="K290" s="37">
        <v>7.02</v>
      </c>
      <c r="L290" s="36">
        <v>0.58499999999999996</v>
      </c>
    </row>
    <row r="291" spans="1:12" ht="15" customHeight="1">
      <c r="A291" s="251"/>
      <c r="B291" s="314"/>
      <c r="C291" s="60" t="s">
        <v>74</v>
      </c>
      <c r="D291" s="78" t="s">
        <v>75</v>
      </c>
      <c r="E291" s="64">
        <v>10</v>
      </c>
      <c r="F291" s="35">
        <v>10</v>
      </c>
      <c r="G291" s="35">
        <v>39.700000000000003</v>
      </c>
      <c r="H291" s="36">
        <v>0</v>
      </c>
      <c r="I291" s="36">
        <v>0</v>
      </c>
      <c r="J291" s="37">
        <v>9.93</v>
      </c>
      <c r="K291" s="37">
        <v>0</v>
      </c>
      <c r="L291" s="36">
        <v>0.01</v>
      </c>
    </row>
    <row r="292" spans="1:12" ht="29.25" customHeight="1">
      <c r="A292" s="79" t="s">
        <v>76</v>
      </c>
      <c r="B292" s="80" t="s">
        <v>204</v>
      </c>
      <c r="C292" s="62" t="s">
        <v>155</v>
      </c>
      <c r="D292" s="78" t="s">
        <v>156</v>
      </c>
      <c r="E292" s="64">
        <v>50</v>
      </c>
      <c r="F292" s="35">
        <v>50</v>
      </c>
      <c r="G292" s="35">
        <v>151.5</v>
      </c>
      <c r="H292" s="36">
        <v>8.75</v>
      </c>
      <c r="I292" s="36">
        <v>12.75</v>
      </c>
      <c r="J292" s="37">
        <v>0.45</v>
      </c>
      <c r="K292" s="37">
        <v>391.5</v>
      </c>
      <c r="L292" s="36">
        <v>0.65</v>
      </c>
    </row>
    <row r="293" spans="1:12" ht="29.25" customHeight="1">
      <c r="A293" s="249" t="s">
        <v>90</v>
      </c>
      <c r="B293" s="315" t="s">
        <v>205</v>
      </c>
      <c r="C293" s="60" t="s">
        <v>148</v>
      </c>
      <c r="D293" s="78" t="s">
        <v>149</v>
      </c>
      <c r="E293" s="81">
        <v>200</v>
      </c>
      <c r="F293" s="35">
        <v>136</v>
      </c>
      <c r="G293" s="35">
        <v>225.76</v>
      </c>
      <c r="H293" s="36">
        <v>1.6319999999999999</v>
      </c>
      <c r="I293" s="36">
        <v>0.27200000000000002</v>
      </c>
      <c r="J293" s="37">
        <v>53.447999999999993</v>
      </c>
      <c r="K293" s="37">
        <v>10.88</v>
      </c>
      <c r="L293" s="36">
        <v>0.54400000000000004</v>
      </c>
    </row>
    <row r="294" spans="1:12" ht="29.25" customHeight="1">
      <c r="A294" s="250"/>
      <c r="B294" s="316"/>
      <c r="C294" s="60" t="s">
        <v>168</v>
      </c>
      <c r="D294" s="78" t="s">
        <v>169</v>
      </c>
      <c r="E294" s="81">
        <v>5</v>
      </c>
      <c r="F294" s="35">
        <v>5</v>
      </c>
      <c r="G294" s="35">
        <v>23.65</v>
      </c>
      <c r="H294" s="36">
        <v>0.04</v>
      </c>
      <c r="I294" s="36">
        <v>4.1100000000000003</v>
      </c>
      <c r="J294" s="37">
        <v>0</v>
      </c>
      <c r="K294" s="37">
        <v>1.1000000000000001</v>
      </c>
      <c r="L294" s="36">
        <v>0.01</v>
      </c>
    </row>
    <row r="295" spans="1:12" ht="18" customHeight="1">
      <c r="A295" s="251"/>
      <c r="B295" s="317"/>
      <c r="C295" s="60" t="s">
        <v>86</v>
      </c>
      <c r="D295" s="78" t="s">
        <v>87</v>
      </c>
      <c r="E295" s="81">
        <v>1</v>
      </c>
      <c r="F295" s="35">
        <v>1</v>
      </c>
      <c r="G295" s="35">
        <v>0</v>
      </c>
      <c r="H295" s="36">
        <v>0</v>
      </c>
      <c r="I295" s="36">
        <v>0</v>
      </c>
      <c r="J295" s="37">
        <v>0</v>
      </c>
      <c r="K295" s="37">
        <v>0.24</v>
      </c>
      <c r="L295" s="36">
        <v>3.0000000000000001E-3</v>
      </c>
    </row>
    <row r="296" spans="1:12" ht="34.5" customHeight="1">
      <c r="A296" s="43" t="s">
        <v>94</v>
      </c>
      <c r="B296" s="80" t="s">
        <v>206</v>
      </c>
      <c r="C296" s="60" t="s">
        <v>207</v>
      </c>
      <c r="D296" s="78" t="s">
        <v>208</v>
      </c>
      <c r="E296" s="81">
        <v>100</v>
      </c>
      <c r="F296" s="35">
        <v>70</v>
      </c>
      <c r="G296" s="35">
        <v>37.799999999999997</v>
      </c>
      <c r="H296" s="36">
        <v>0.63</v>
      </c>
      <c r="I296" s="36">
        <v>7.0000000000000007E-2</v>
      </c>
      <c r="J296" s="37">
        <v>7.98</v>
      </c>
      <c r="K296" s="37">
        <v>24.5</v>
      </c>
      <c r="L296" s="36">
        <v>0.21</v>
      </c>
    </row>
    <row r="297" spans="1:12">
      <c r="A297" s="281"/>
      <c r="B297" s="281"/>
      <c r="C297" s="281"/>
      <c r="D297" s="281"/>
      <c r="E297" s="281"/>
      <c r="F297" s="281"/>
      <c r="G297" s="281"/>
      <c r="H297" s="281"/>
      <c r="I297" s="281"/>
      <c r="J297" s="281"/>
      <c r="K297" s="281"/>
      <c r="L297" s="282"/>
    </row>
    <row r="298" spans="1:12" ht="15.75">
      <c r="A298" s="277" t="s">
        <v>98</v>
      </c>
      <c r="B298" s="278"/>
      <c r="C298" s="278"/>
      <c r="D298" s="278"/>
      <c r="E298" s="278"/>
      <c r="F298" s="279"/>
      <c r="G298" s="45">
        <f>SUM(G285:G297)</f>
        <v>596.70999999999992</v>
      </c>
      <c r="H298" s="45">
        <f>SUM(H284:H297)</f>
        <v>16.667999999999999</v>
      </c>
      <c r="I298" s="45">
        <f>SUM(I285:I297)</f>
        <v>21.634999999999998</v>
      </c>
      <c r="J298" s="45">
        <f>SUM(J289:J297)</f>
        <v>85.132999999999996</v>
      </c>
      <c r="K298" s="45">
        <f>SUM(K284:K297)</f>
        <v>557.44000000000005</v>
      </c>
      <c r="L298" s="45">
        <f>SUM(L284:L297)</f>
        <v>2.077</v>
      </c>
    </row>
    <row r="299" spans="1:12" ht="15.75">
      <c r="A299" s="277" t="s">
        <v>99</v>
      </c>
      <c r="B299" s="278"/>
      <c r="C299" s="278"/>
      <c r="D299" s="278"/>
      <c r="E299" s="278"/>
      <c r="F299" s="279"/>
      <c r="G299" s="46">
        <v>2245</v>
      </c>
      <c r="H299" s="46">
        <v>78.5</v>
      </c>
      <c r="I299" s="46">
        <v>74.8</v>
      </c>
      <c r="J299" s="46">
        <v>314.3</v>
      </c>
      <c r="K299" s="46">
        <v>1100</v>
      </c>
      <c r="L299" s="46">
        <v>8.6999999999999993</v>
      </c>
    </row>
    <row r="300" spans="1:12" ht="15.75">
      <c r="A300" s="277" t="s">
        <v>100</v>
      </c>
      <c r="B300" s="278"/>
      <c r="C300" s="278"/>
      <c r="D300" s="278"/>
      <c r="E300" s="278"/>
      <c r="F300" s="279"/>
      <c r="G300" s="47">
        <f t="shared" ref="G300:L300" si="26">G298/G299</f>
        <v>0.26579510022271713</v>
      </c>
      <c r="H300" s="47">
        <f t="shared" si="26"/>
        <v>0.21233121019108278</v>
      </c>
      <c r="I300" s="48">
        <f t="shared" si="26"/>
        <v>0.28923796791443851</v>
      </c>
      <c r="J300" s="47">
        <f t="shared" si="26"/>
        <v>0.27086541520839957</v>
      </c>
      <c r="K300" s="47">
        <f t="shared" si="26"/>
        <v>0.50676363636363642</v>
      </c>
      <c r="L300" s="47">
        <f t="shared" si="26"/>
        <v>0.23873563218390806</v>
      </c>
    </row>
    <row r="301" spans="1:12">
      <c r="A301" s="280"/>
      <c r="B301" s="281"/>
      <c r="C301" s="281"/>
      <c r="D301" s="281"/>
      <c r="E301" s="281"/>
      <c r="F301" s="281"/>
      <c r="G301" s="281"/>
      <c r="H301" s="281"/>
      <c r="I301" s="281"/>
      <c r="J301" s="281"/>
      <c r="K301" s="281"/>
      <c r="L301" s="282"/>
    </row>
    <row r="302" spans="1:12" ht="15.75">
      <c r="A302" s="259" t="s">
        <v>101</v>
      </c>
      <c r="B302" s="260"/>
      <c r="C302" s="260"/>
      <c r="D302" s="260"/>
      <c r="E302" s="260"/>
      <c r="F302" s="261"/>
      <c r="G302" s="245" t="s">
        <v>176</v>
      </c>
      <c r="H302" s="246"/>
      <c r="I302" s="246"/>
      <c r="J302" s="246"/>
      <c r="K302" s="246"/>
      <c r="L302" s="247"/>
    </row>
    <row r="303" spans="1:12" ht="33.75" customHeight="1">
      <c r="A303" s="50" t="s">
        <v>103</v>
      </c>
      <c r="B303" s="257"/>
      <c r="C303" s="257"/>
      <c r="D303" s="257"/>
      <c r="E303" s="257"/>
      <c r="F303" s="257"/>
      <c r="G303" s="283" t="s">
        <v>104</v>
      </c>
      <c r="H303" s="283"/>
      <c r="I303" s="283"/>
      <c r="J303" s="292" t="str">
        <f t="shared" ref="J303" si="27">$J$30</f>
        <v>MND 1192925014</v>
      </c>
      <c r="K303" s="293"/>
      <c r="L303" s="294"/>
    </row>
    <row r="304" spans="1:12">
      <c r="A304" s="304"/>
      <c r="B304" s="304"/>
      <c r="C304" s="304"/>
      <c r="D304" s="304"/>
      <c r="E304" s="304"/>
      <c r="F304" s="304"/>
      <c r="G304" s="304"/>
      <c r="H304" s="304"/>
      <c r="I304" s="304"/>
      <c r="J304" s="304"/>
      <c r="K304" s="304"/>
      <c r="L304" s="304"/>
    </row>
    <row r="305" spans="1:12">
      <c r="A305" s="227" t="s">
        <v>209</v>
      </c>
      <c r="B305" s="228"/>
      <c r="C305" s="228"/>
      <c r="D305" s="228"/>
      <c r="E305" s="228"/>
      <c r="F305" s="228"/>
      <c r="G305" s="228"/>
      <c r="H305" s="228"/>
      <c r="I305" s="228"/>
      <c r="J305" s="228"/>
      <c r="K305" s="228"/>
      <c r="L305" s="229"/>
    </row>
    <row r="306" spans="1:12" ht="15" customHeight="1">
      <c r="A306" s="231" t="s">
        <v>55</v>
      </c>
      <c r="B306" s="233" t="s">
        <v>56</v>
      </c>
      <c r="C306" s="235" t="s">
        <v>57</v>
      </c>
      <c r="D306" s="233" t="s">
        <v>58</v>
      </c>
      <c r="E306" s="237" t="s">
        <v>59</v>
      </c>
      <c r="F306" s="237" t="s">
        <v>60</v>
      </c>
      <c r="G306" s="269" t="s">
        <v>61</v>
      </c>
      <c r="H306" s="270"/>
      <c r="I306" s="270"/>
      <c r="J306" s="270"/>
      <c r="K306" s="270"/>
      <c r="L306" s="271"/>
    </row>
    <row r="307" spans="1:12" ht="22.5">
      <c r="A307" s="255"/>
      <c r="B307" s="262"/>
      <c r="C307" s="263"/>
      <c r="D307" s="262"/>
      <c r="E307" s="264"/>
      <c r="F307" s="264"/>
      <c r="G307" s="51" t="s">
        <v>62</v>
      </c>
      <c r="H307" s="31" t="s">
        <v>63</v>
      </c>
      <c r="I307" s="31" t="s">
        <v>64</v>
      </c>
      <c r="J307" s="31" t="s">
        <v>65</v>
      </c>
      <c r="K307" s="31" t="s">
        <v>66</v>
      </c>
      <c r="L307" s="31" t="s">
        <v>67</v>
      </c>
    </row>
    <row r="308" spans="1:12" ht="15" customHeight="1">
      <c r="A308" s="249" t="s">
        <v>107</v>
      </c>
      <c r="B308" s="252" t="s">
        <v>134</v>
      </c>
      <c r="C308" s="32" t="s">
        <v>137</v>
      </c>
      <c r="D308" s="38" t="s">
        <v>138</v>
      </c>
      <c r="E308" s="39">
        <v>20</v>
      </c>
      <c r="F308" s="35">
        <v>20</v>
      </c>
      <c r="G308" s="35">
        <v>72.8</v>
      </c>
      <c r="H308" s="36">
        <v>0.1</v>
      </c>
      <c r="I308" s="36">
        <v>0.02</v>
      </c>
      <c r="J308" s="37">
        <v>18.04</v>
      </c>
      <c r="K308" s="37">
        <v>8.4</v>
      </c>
      <c r="L308" s="36">
        <v>0.98</v>
      </c>
    </row>
    <row r="309" spans="1:12" ht="18.75" customHeight="1">
      <c r="A309" s="251"/>
      <c r="B309" s="254"/>
      <c r="C309" s="32" t="s">
        <v>135</v>
      </c>
      <c r="D309" s="38" t="s">
        <v>136</v>
      </c>
      <c r="E309" s="39">
        <v>60</v>
      </c>
      <c r="F309" s="35">
        <v>30</v>
      </c>
      <c r="G309" s="35">
        <v>13.2</v>
      </c>
      <c r="H309" s="36">
        <v>0.09</v>
      </c>
      <c r="I309" s="36">
        <v>0.09</v>
      </c>
      <c r="J309" s="37">
        <v>2.79</v>
      </c>
      <c r="K309" s="37">
        <v>5.7</v>
      </c>
      <c r="L309" s="36">
        <v>0.15</v>
      </c>
    </row>
    <row r="310" spans="1:12" ht="15" customHeight="1">
      <c r="A310" s="231" t="s">
        <v>76</v>
      </c>
      <c r="B310" s="252" t="s">
        <v>210</v>
      </c>
      <c r="C310" s="32" t="s">
        <v>112</v>
      </c>
      <c r="D310" s="38" t="s">
        <v>113</v>
      </c>
      <c r="E310" s="39">
        <v>50</v>
      </c>
      <c r="F310" s="35">
        <v>50</v>
      </c>
      <c r="G310" s="35">
        <v>69.5</v>
      </c>
      <c r="H310" s="36">
        <v>10.9</v>
      </c>
      <c r="I310" s="36">
        <v>2.85</v>
      </c>
      <c r="J310" s="37">
        <v>0</v>
      </c>
      <c r="K310" s="37">
        <v>3</v>
      </c>
      <c r="L310" s="36">
        <v>1.35</v>
      </c>
    </row>
    <row r="311" spans="1:12">
      <c r="A311" s="255"/>
      <c r="B311" s="253"/>
      <c r="C311" s="32" t="s">
        <v>80</v>
      </c>
      <c r="D311" s="38" t="s">
        <v>81</v>
      </c>
      <c r="E311" s="39">
        <v>10</v>
      </c>
      <c r="F311" s="35">
        <v>9.5</v>
      </c>
      <c r="G311" s="35">
        <v>3.8</v>
      </c>
      <c r="H311" s="36">
        <v>0.13299999999999998</v>
      </c>
      <c r="I311" s="36">
        <v>9.5000000000000015E-3</v>
      </c>
      <c r="J311" s="37">
        <v>0.73150000000000004</v>
      </c>
      <c r="K311" s="37">
        <v>2.2799999999999998</v>
      </c>
      <c r="L311" s="36">
        <v>2.8500000000000001E-2</v>
      </c>
    </row>
    <row r="312" spans="1:12">
      <c r="A312" s="255"/>
      <c r="B312" s="253"/>
      <c r="C312" s="32" t="s">
        <v>116</v>
      </c>
      <c r="D312" s="38" t="s">
        <v>117</v>
      </c>
      <c r="E312" s="39">
        <v>10</v>
      </c>
      <c r="F312" s="35">
        <v>8.5</v>
      </c>
      <c r="G312" s="35">
        <v>2.9750000000000001</v>
      </c>
      <c r="H312" s="36">
        <v>8.5000000000000006E-2</v>
      </c>
      <c r="I312" s="36">
        <v>2.5499999999999998E-2</v>
      </c>
      <c r="J312" s="37">
        <v>0.53549999999999998</v>
      </c>
      <c r="K312" s="37">
        <v>0.59499999999999997</v>
      </c>
      <c r="L312" s="36">
        <v>3.4000000000000002E-2</v>
      </c>
    </row>
    <row r="313" spans="1:12">
      <c r="A313" s="255"/>
      <c r="B313" s="253"/>
      <c r="C313" s="32" t="s">
        <v>82</v>
      </c>
      <c r="D313" s="38" t="s">
        <v>83</v>
      </c>
      <c r="E313" s="39">
        <v>10</v>
      </c>
      <c r="F313" s="35">
        <v>8</v>
      </c>
      <c r="G313" s="35">
        <v>1.84</v>
      </c>
      <c r="H313" s="36">
        <v>7.2000000000000008E-2</v>
      </c>
      <c r="I313" s="36">
        <v>8.0000000000000002E-3</v>
      </c>
      <c r="J313" s="37">
        <v>0.32799999999999996</v>
      </c>
      <c r="K313" s="37">
        <v>0.72</v>
      </c>
      <c r="L313" s="36">
        <v>0.04</v>
      </c>
    </row>
    <row r="314" spans="1:12">
      <c r="A314" s="255"/>
      <c r="B314" s="253"/>
      <c r="C314" s="32" t="s">
        <v>84</v>
      </c>
      <c r="D314" s="52" t="s">
        <v>85</v>
      </c>
      <c r="E314" s="34">
        <v>1</v>
      </c>
      <c r="F314" s="35">
        <v>0.95</v>
      </c>
      <c r="G314" s="35">
        <v>1.3679999999999999</v>
      </c>
      <c r="H314" s="36">
        <v>4.4649999999999995E-2</v>
      </c>
      <c r="I314" s="36">
        <v>2.8499999999999997E-3</v>
      </c>
      <c r="J314" s="37">
        <v>0.27834999999999999</v>
      </c>
      <c r="K314" s="37">
        <v>0.38</v>
      </c>
      <c r="L314" s="36">
        <v>1.2349999999999998E-2</v>
      </c>
    </row>
    <row r="315" spans="1:12">
      <c r="A315" s="255"/>
      <c r="B315" s="253"/>
      <c r="C315" s="32" t="s">
        <v>86</v>
      </c>
      <c r="D315" s="38" t="s">
        <v>87</v>
      </c>
      <c r="E315" s="40">
        <v>1</v>
      </c>
      <c r="F315" s="35">
        <v>1</v>
      </c>
      <c r="G315" s="35">
        <v>0</v>
      </c>
      <c r="H315" s="36">
        <v>0</v>
      </c>
      <c r="I315" s="36">
        <v>0</v>
      </c>
      <c r="J315" s="37">
        <v>0</v>
      </c>
      <c r="K315" s="37">
        <v>0.24</v>
      </c>
      <c r="L315" s="36">
        <v>3.0000000000000001E-3</v>
      </c>
    </row>
    <row r="316" spans="1:12">
      <c r="A316" s="256"/>
      <c r="B316" s="254"/>
      <c r="C316" s="32" t="s">
        <v>88</v>
      </c>
      <c r="D316" s="38" t="s">
        <v>89</v>
      </c>
      <c r="E316" s="34">
        <v>8</v>
      </c>
      <c r="F316" s="35">
        <v>8</v>
      </c>
      <c r="G316" s="35">
        <v>72</v>
      </c>
      <c r="H316" s="36">
        <v>0</v>
      </c>
      <c r="I316" s="36">
        <v>8</v>
      </c>
      <c r="J316" s="37">
        <v>0</v>
      </c>
      <c r="K316" s="37">
        <v>0</v>
      </c>
      <c r="L316" s="36">
        <v>0</v>
      </c>
    </row>
    <row r="317" spans="1:12" ht="15" customHeight="1">
      <c r="A317" s="231" t="s">
        <v>90</v>
      </c>
      <c r="B317" s="318" t="s">
        <v>211</v>
      </c>
      <c r="C317" s="32" t="s">
        <v>145</v>
      </c>
      <c r="D317" s="38" t="s">
        <v>146</v>
      </c>
      <c r="E317" s="39">
        <v>50</v>
      </c>
      <c r="F317" s="35">
        <v>50</v>
      </c>
      <c r="G317" s="35">
        <v>176.5</v>
      </c>
      <c r="H317" s="36">
        <v>3.35</v>
      </c>
      <c r="I317" s="36">
        <v>0.2</v>
      </c>
      <c r="J317" s="37">
        <v>40.049999999999997</v>
      </c>
      <c r="K317" s="37">
        <v>4.5</v>
      </c>
      <c r="L317" s="36">
        <v>0.4</v>
      </c>
    </row>
    <row r="318" spans="1:12">
      <c r="A318" s="255"/>
      <c r="B318" s="319"/>
      <c r="C318" s="32" t="s">
        <v>114</v>
      </c>
      <c r="D318" s="38" t="s">
        <v>115</v>
      </c>
      <c r="E318" s="39">
        <v>10</v>
      </c>
      <c r="F318" s="35">
        <v>4</v>
      </c>
      <c r="G318" s="35">
        <v>1.48</v>
      </c>
      <c r="H318" s="36">
        <v>4.8000000000000001E-2</v>
      </c>
      <c r="I318" s="36">
        <v>4.0000000000000001E-3</v>
      </c>
      <c r="J318" s="37">
        <v>0.27200000000000002</v>
      </c>
      <c r="K318" s="37">
        <v>2.2799999999999998</v>
      </c>
      <c r="L318" s="36">
        <v>0.02</v>
      </c>
    </row>
    <row r="319" spans="1:12">
      <c r="A319" s="255"/>
      <c r="B319" s="319"/>
      <c r="C319" s="32" t="s">
        <v>84</v>
      </c>
      <c r="D319" s="38" t="s">
        <v>85</v>
      </c>
      <c r="E319" s="39">
        <v>1</v>
      </c>
      <c r="F319" s="35">
        <v>0.95</v>
      </c>
      <c r="G319" s="35">
        <v>1.3679999999999999</v>
      </c>
      <c r="H319" s="36">
        <v>4.4649999999999995E-2</v>
      </c>
      <c r="I319" s="36">
        <v>2.8499999999999997E-3</v>
      </c>
      <c r="J319" s="37">
        <v>0.27834999999999999</v>
      </c>
      <c r="K319" s="37">
        <v>0.38</v>
      </c>
      <c r="L319" s="36">
        <v>1.2349999999999998E-2</v>
      </c>
    </row>
    <row r="320" spans="1:12">
      <c r="A320" s="255"/>
      <c r="B320" s="319"/>
      <c r="C320" s="32" t="s">
        <v>86</v>
      </c>
      <c r="D320" s="38" t="s">
        <v>87</v>
      </c>
      <c r="E320" s="40">
        <v>1</v>
      </c>
      <c r="F320" s="35">
        <v>1</v>
      </c>
      <c r="G320" s="35">
        <v>0</v>
      </c>
      <c r="H320" s="36">
        <v>0</v>
      </c>
      <c r="I320" s="36">
        <v>0</v>
      </c>
      <c r="J320" s="37">
        <v>0</v>
      </c>
      <c r="K320" s="37">
        <v>0.24</v>
      </c>
      <c r="L320" s="36">
        <v>3.0000000000000001E-3</v>
      </c>
    </row>
    <row r="321" spans="1:12">
      <c r="A321" s="256"/>
      <c r="B321" s="320"/>
      <c r="C321" s="32" t="s">
        <v>88</v>
      </c>
      <c r="D321" s="38" t="s">
        <v>89</v>
      </c>
      <c r="E321" s="39">
        <v>5</v>
      </c>
      <c r="F321" s="35">
        <v>5</v>
      </c>
      <c r="G321" s="35">
        <v>45</v>
      </c>
      <c r="H321" s="36">
        <v>0</v>
      </c>
      <c r="I321" s="36">
        <v>5</v>
      </c>
      <c r="J321" s="37">
        <v>0</v>
      </c>
      <c r="K321" s="37">
        <v>0</v>
      </c>
      <c r="L321" s="36">
        <v>0</v>
      </c>
    </row>
    <row r="322" spans="1:12" ht="25.5">
      <c r="A322" s="43" t="s">
        <v>94</v>
      </c>
      <c r="B322" s="44"/>
      <c r="C322" s="32"/>
      <c r="D322" s="38"/>
      <c r="E322" s="39"/>
      <c r="F322" s="35"/>
      <c r="G322" s="35"/>
      <c r="H322" s="36"/>
      <c r="I322" s="36"/>
      <c r="J322" s="37"/>
      <c r="K322" s="37"/>
      <c r="L322" s="36"/>
    </row>
    <row r="323" spans="1:12">
      <c r="A323" s="281"/>
      <c r="B323" s="281"/>
      <c r="C323" s="281"/>
      <c r="D323" s="281"/>
      <c r="E323" s="281"/>
      <c r="F323" s="281"/>
      <c r="G323" s="281"/>
      <c r="H323" s="281"/>
      <c r="I323" s="281"/>
      <c r="J323" s="281"/>
      <c r="K323" s="281"/>
      <c r="L323" s="282"/>
    </row>
    <row r="324" spans="1:12" ht="15.75">
      <c r="A324" s="277" t="s">
        <v>98</v>
      </c>
      <c r="B324" s="278"/>
      <c r="C324" s="278"/>
      <c r="D324" s="278"/>
      <c r="E324" s="278"/>
      <c r="F324" s="279"/>
      <c r="G324" s="45">
        <f>SUM(G307:G323)</f>
        <v>461.83100000000002</v>
      </c>
      <c r="H324" s="45">
        <f>SUM(H306:H323)</f>
        <v>14.8673</v>
      </c>
      <c r="I324" s="45">
        <f>SUM(I307:I323)</f>
        <v>16.212699999999998</v>
      </c>
      <c r="J324" s="45">
        <f>SUM(J306:J323)</f>
        <v>63.303699999999999</v>
      </c>
      <c r="K324" s="45">
        <f>SUM(K306:K323)</f>
        <v>28.714999999999996</v>
      </c>
      <c r="L324" s="45">
        <f>SUM(L306:L323)</f>
        <v>3.0332000000000003</v>
      </c>
    </row>
    <row r="325" spans="1:12" ht="15.75">
      <c r="A325" s="277" t="s">
        <v>99</v>
      </c>
      <c r="B325" s="278"/>
      <c r="C325" s="278"/>
      <c r="D325" s="278"/>
      <c r="E325" s="278"/>
      <c r="F325" s="279"/>
      <c r="G325" s="46">
        <v>2245</v>
      </c>
      <c r="H325" s="46">
        <v>78.5</v>
      </c>
      <c r="I325" s="46">
        <v>74.8</v>
      </c>
      <c r="J325" s="46">
        <v>314.3</v>
      </c>
      <c r="K325" s="46">
        <v>1100</v>
      </c>
      <c r="L325" s="46">
        <v>8.6999999999999993</v>
      </c>
    </row>
    <row r="326" spans="1:12" ht="15.75">
      <c r="A326" s="277" t="s">
        <v>100</v>
      </c>
      <c r="B326" s="278"/>
      <c r="C326" s="278"/>
      <c r="D326" s="278"/>
      <c r="E326" s="278"/>
      <c r="F326" s="279"/>
      <c r="G326" s="47">
        <f t="shared" ref="G326:L326" si="28">G324/G325</f>
        <v>0.20571536748329622</v>
      </c>
      <c r="H326" s="47">
        <f t="shared" si="28"/>
        <v>0.18939235668789808</v>
      </c>
      <c r="I326" s="48">
        <f t="shared" si="28"/>
        <v>0.21674732620320855</v>
      </c>
      <c r="J326" s="47">
        <f t="shared" si="28"/>
        <v>0.20141170855870186</v>
      </c>
      <c r="K326" s="47">
        <f t="shared" si="28"/>
        <v>2.610454545454545E-2</v>
      </c>
      <c r="L326" s="47">
        <f t="shared" si="28"/>
        <v>0.34864367816091962</v>
      </c>
    </row>
    <row r="327" spans="1:12">
      <c r="A327" s="280"/>
      <c r="B327" s="281"/>
      <c r="C327" s="281"/>
      <c r="D327" s="281"/>
      <c r="E327" s="281"/>
      <c r="F327" s="281"/>
      <c r="G327" s="281"/>
      <c r="H327" s="281"/>
      <c r="I327" s="281"/>
      <c r="J327" s="281"/>
      <c r="K327" s="281"/>
      <c r="L327" s="282"/>
    </row>
    <row r="328" spans="1:12" ht="15.75">
      <c r="A328" s="259" t="s">
        <v>101</v>
      </c>
      <c r="B328" s="260"/>
      <c r="C328" s="260"/>
      <c r="D328" s="260"/>
      <c r="E328" s="260"/>
      <c r="F328" s="261"/>
      <c r="G328" s="245" t="s">
        <v>176</v>
      </c>
      <c r="H328" s="246"/>
      <c r="I328" s="246"/>
      <c r="J328" s="246"/>
      <c r="K328" s="246"/>
      <c r="L328" s="247"/>
    </row>
    <row r="329" spans="1:12" ht="30" customHeight="1">
      <c r="A329" s="50" t="s">
        <v>103</v>
      </c>
      <c r="B329" s="257"/>
      <c r="C329" s="257"/>
      <c r="D329" s="257"/>
      <c r="E329" s="257"/>
      <c r="F329" s="257"/>
      <c r="G329" s="283" t="s">
        <v>104</v>
      </c>
      <c r="H329" s="283"/>
      <c r="I329" s="283"/>
      <c r="J329" s="292" t="str">
        <f t="shared" ref="J329" si="29">$J$30</f>
        <v>MND 1192925014</v>
      </c>
      <c r="K329" s="293"/>
      <c r="L329" s="294"/>
    </row>
    <row r="330" spans="1:12">
      <c r="A330" s="304"/>
      <c r="B330" s="304"/>
      <c r="C330" s="304"/>
      <c r="D330" s="304"/>
      <c r="E330" s="304"/>
      <c r="F330" s="304"/>
      <c r="G330" s="304"/>
      <c r="H330" s="304"/>
      <c r="I330" s="304"/>
      <c r="J330" s="304"/>
      <c r="K330" s="304"/>
      <c r="L330" s="304"/>
    </row>
    <row r="331" spans="1:12">
      <c r="A331" s="227" t="s">
        <v>212</v>
      </c>
      <c r="B331" s="228"/>
      <c r="C331" s="228"/>
      <c r="D331" s="228"/>
      <c r="E331" s="228"/>
      <c r="F331" s="228"/>
      <c r="G331" s="228"/>
      <c r="H331" s="228"/>
      <c r="I331" s="228"/>
      <c r="J331" s="228"/>
      <c r="K331" s="228"/>
      <c r="L331" s="229"/>
    </row>
    <row r="332" spans="1:12" ht="15" customHeight="1">
      <c r="A332" s="231" t="s">
        <v>55</v>
      </c>
      <c r="B332" s="233" t="s">
        <v>56</v>
      </c>
      <c r="C332" s="235" t="s">
        <v>57</v>
      </c>
      <c r="D332" s="233" t="s">
        <v>58</v>
      </c>
      <c r="E332" s="237" t="s">
        <v>59</v>
      </c>
      <c r="F332" s="237" t="s">
        <v>60</v>
      </c>
      <c r="G332" s="269" t="s">
        <v>61</v>
      </c>
      <c r="H332" s="270"/>
      <c r="I332" s="270"/>
      <c r="J332" s="270"/>
      <c r="K332" s="270"/>
      <c r="L332" s="271"/>
    </row>
    <row r="333" spans="1:12" ht="22.5">
      <c r="A333" s="255"/>
      <c r="B333" s="262"/>
      <c r="C333" s="263"/>
      <c r="D333" s="262"/>
      <c r="E333" s="264"/>
      <c r="F333" s="264"/>
      <c r="G333" s="51" t="s">
        <v>62</v>
      </c>
      <c r="H333" s="31" t="s">
        <v>63</v>
      </c>
      <c r="I333" s="31" t="s">
        <v>64</v>
      </c>
      <c r="J333" s="31" t="s">
        <v>65</v>
      </c>
      <c r="K333" s="31" t="s">
        <v>66</v>
      </c>
      <c r="L333" s="31" t="s">
        <v>67</v>
      </c>
    </row>
    <row r="334" spans="1:12" ht="19.5" customHeight="1">
      <c r="A334" s="235" t="s">
        <v>107</v>
      </c>
      <c r="B334" s="267" t="s">
        <v>213</v>
      </c>
      <c r="C334" s="60" t="s">
        <v>70</v>
      </c>
      <c r="D334" s="33" t="s">
        <v>71</v>
      </c>
      <c r="E334" s="34">
        <v>13</v>
      </c>
      <c r="F334" s="35">
        <v>13</v>
      </c>
      <c r="G334" s="35">
        <v>64.87</v>
      </c>
      <c r="H334" s="36">
        <v>3.4190000000000005</v>
      </c>
      <c r="I334" s="36">
        <v>3.4580000000000002</v>
      </c>
      <c r="J334" s="37">
        <v>4.992</v>
      </c>
      <c r="K334" s="37">
        <v>122.2</v>
      </c>
      <c r="L334" s="36">
        <v>6.5000000000000002E-2</v>
      </c>
    </row>
    <row r="335" spans="1:12" ht="19.5" customHeight="1">
      <c r="A335" s="305"/>
      <c r="B335" s="268"/>
      <c r="C335" s="60" t="s">
        <v>214</v>
      </c>
      <c r="D335" s="38" t="s">
        <v>215</v>
      </c>
      <c r="E335" s="39">
        <v>18</v>
      </c>
      <c r="F335" s="35">
        <v>18</v>
      </c>
      <c r="G335" s="35">
        <v>82.08</v>
      </c>
      <c r="H335" s="36">
        <v>0.64800000000000002</v>
      </c>
      <c r="I335" s="36">
        <v>2.988</v>
      </c>
      <c r="J335" s="37">
        <v>13.59</v>
      </c>
      <c r="K335" s="37">
        <v>6.48</v>
      </c>
      <c r="L335" s="36">
        <v>0.63</v>
      </c>
    </row>
    <row r="336" spans="1:12" ht="15" customHeight="1">
      <c r="A336" s="235" t="s">
        <v>76</v>
      </c>
      <c r="B336" s="267" t="s">
        <v>125</v>
      </c>
      <c r="C336" s="60" t="s">
        <v>126</v>
      </c>
      <c r="D336" s="38" t="s">
        <v>127</v>
      </c>
      <c r="E336" s="39">
        <v>50</v>
      </c>
      <c r="F336" s="35">
        <v>50</v>
      </c>
      <c r="G336" s="35">
        <v>61</v>
      </c>
      <c r="H336" s="36">
        <v>10.25</v>
      </c>
      <c r="I336" s="36">
        <v>2.25</v>
      </c>
      <c r="J336" s="37">
        <v>0</v>
      </c>
      <c r="K336" s="37">
        <v>17</v>
      </c>
      <c r="L336" s="36">
        <v>0.4</v>
      </c>
    </row>
    <row r="337" spans="1:12" ht="15" customHeight="1">
      <c r="A337" s="263"/>
      <c r="B337" s="273"/>
      <c r="C337" s="60" t="s">
        <v>80</v>
      </c>
      <c r="D337" s="38" t="s">
        <v>81</v>
      </c>
      <c r="E337" s="39">
        <v>10</v>
      </c>
      <c r="F337" s="35">
        <v>9.5</v>
      </c>
      <c r="G337" s="35">
        <v>3.8</v>
      </c>
      <c r="H337" s="36">
        <v>0.13299999999999998</v>
      </c>
      <c r="I337" s="36">
        <v>9.5000000000000015E-3</v>
      </c>
      <c r="J337" s="37">
        <v>0.73150000000000004</v>
      </c>
      <c r="K337" s="37">
        <v>2.2799999999999998</v>
      </c>
      <c r="L337" s="36">
        <v>2.8500000000000001E-2</v>
      </c>
    </row>
    <row r="338" spans="1:12" ht="15" customHeight="1">
      <c r="A338" s="263"/>
      <c r="B338" s="273"/>
      <c r="C338" s="60" t="s">
        <v>114</v>
      </c>
      <c r="D338" s="38" t="s">
        <v>115</v>
      </c>
      <c r="E338" s="39">
        <v>10</v>
      </c>
      <c r="F338" s="35">
        <v>4</v>
      </c>
      <c r="G338" s="35">
        <v>1.48</v>
      </c>
      <c r="H338" s="36">
        <v>4.8000000000000001E-2</v>
      </c>
      <c r="I338" s="36">
        <v>4.0000000000000001E-3</v>
      </c>
      <c r="J338" s="37">
        <v>0.27200000000000002</v>
      </c>
      <c r="K338" s="37">
        <v>2.2799999999999998</v>
      </c>
      <c r="L338" s="36">
        <v>0.02</v>
      </c>
    </row>
    <row r="339" spans="1:12" ht="15" customHeight="1">
      <c r="A339" s="263"/>
      <c r="B339" s="273"/>
      <c r="C339" s="60" t="s">
        <v>116</v>
      </c>
      <c r="D339" s="38" t="s">
        <v>117</v>
      </c>
      <c r="E339" s="39">
        <v>10</v>
      </c>
      <c r="F339" s="35">
        <v>8.5</v>
      </c>
      <c r="G339" s="35">
        <v>2.9750000000000001</v>
      </c>
      <c r="H339" s="36">
        <v>8.5000000000000006E-2</v>
      </c>
      <c r="I339" s="36">
        <v>2.5499999999999998E-2</v>
      </c>
      <c r="J339" s="37">
        <v>0.53549999999999998</v>
      </c>
      <c r="K339" s="37">
        <v>0.59499999999999997</v>
      </c>
      <c r="L339" s="36">
        <v>3.4000000000000002E-2</v>
      </c>
    </row>
    <row r="340" spans="1:12" ht="15" customHeight="1">
      <c r="A340" s="263"/>
      <c r="B340" s="273"/>
      <c r="C340" s="60" t="s">
        <v>84</v>
      </c>
      <c r="D340" s="52" t="s">
        <v>85</v>
      </c>
      <c r="E340" s="34">
        <v>1</v>
      </c>
      <c r="F340" s="35">
        <v>0.95</v>
      </c>
      <c r="G340" s="35">
        <v>1.3679999999999999</v>
      </c>
      <c r="H340" s="36">
        <v>4.4649999999999995E-2</v>
      </c>
      <c r="I340" s="36">
        <v>2.8499999999999997E-3</v>
      </c>
      <c r="J340" s="37">
        <v>0.27834999999999999</v>
      </c>
      <c r="K340" s="37">
        <v>0.38</v>
      </c>
      <c r="L340" s="36">
        <v>1.2349999999999998E-2</v>
      </c>
    </row>
    <row r="341" spans="1:12">
      <c r="A341" s="263"/>
      <c r="B341" s="273"/>
      <c r="C341" s="60" t="s">
        <v>86</v>
      </c>
      <c r="D341" s="38" t="s">
        <v>87</v>
      </c>
      <c r="E341" s="40">
        <v>1</v>
      </c>
      <c r="F341" s="35">
        <v>1</v>
      </c>
      <c r="G341" s="35">
        <v>0</v>
      </c>
      <c r="H341" s="36">
        <v>0</v>
      </c>
      <c r="I341" s="36">
        <v>0</v>
      </c>
      <c r="J341" s="37">
        <v>0</v>
      </c>
      <c r="K341" s="37">
        <v>0.24</v>
      </c>
      <c r="L341" s="36">
        <v>3.0000000000000001E-3</v>
      </c>
    </row>
    <row r="342" spans="1:12">
      <c r="A342" s="263"/>
      <c r="B342" s="273"/>
      <c r="C342" s="60" t="s">
        <v>128</v>
      </c>
      <c r="D342" s="38" t="s">
        <v>129</v>
      </c>
      <c r="E342" s="40">
        <v>1</v>
      </c>
      <c r="F342" s="35">
        <v>1</v>
      </c>
      <c r="G342" s="35">
        <v>3.92</v>
      </c>
      <c r="H342" s="36">
        <v>4.4000000000000004E-2</v>
      </c>
      <c r="I342" s="36">
        <v>5.2999999999999999E-2</v>
      </c>
      <c r="J342" s="37">
        <v>0.81799999999999995</v>
      </c>
      <c r="K342" s="37">
        <v>0.11</v>
      </c>
      <c r="L342" s="36">
        <v>1.3999999999999999E-2</v>
      </c>
    </row>
    <row r="343" spans="1:12">
      <c r="A343" s="305"/>
      <c r="B343" s="268"/>
      <c r="C343" s="60" t="s">
        <v>88</v>
      </c>
      <c r="D343" s="38" t="s">
        <v>89</v>
      </c>
      <c r="E343" s="39">
        <v>5</v>
      </c>
      <c r="F343" s="35">
        <v>5</v>
      </c>
      <c r="G343" s="35">
        <v>45</v>
      </c>
      <c r="H343" s="36">
        <v>0</v>
      </c>
      <c r="I343" s="36">
        <v>5</v>
      </c>
      <c r="J343" s="37">
        <v>0</v>
      </c>
      <c r="K343" s="37">
        <v>0</v>
      </c>
      <c r="L343" s="36">
        <v>0</v>
      </c>
    </row>
    <row r="344" spans="1:12" ht="15" customHeight="1">
      <c r="A344" s="235" t="s">
        <v>90</v>
      </c>
      <c r="B344" s="267" t="s">
        <v>216</v>
      </c>
      <c r="C344" s="60" t="s">
        <v>119</v>
      </c>
      <c r="D344" s="38" t="s">
        <v>120</v>
      </c>
      <c r="E344" s="39">
        <v>50</v>
      </c>
      <c r="F344" s="35">
        <v>50</v>
      </c>
      <c r="G344" s="35">
        <v>190</v>
      </c>
      <c r="H344" s="36">
        <v>4.55</v>
      </c>
      <c r="I344" s="36">
        <v>1.85</v>
      </c>
      <c r="J344" s="37">
        <v>36.950000000000003</v>
      </c>
      <c r="K344" s="37">
        <v>2</v>
      </c>
      <c r="L344" s="36">
        <v>1.35</v>
      </c>
    </row>
    <row r="345" spans="1:12" ht="15" customHeight="1">
      <c r="A345" s="263"/>
      <c r="B345" s="273"/>
      <c r="C345" s="60" t="s">
        <v>86</v>
      </c>
      <c r="D345" s="38" t="s">
        <v>87</v>
      </c>
      <c r="E345" s="40">
        <v>1</v>
      </c>
      <c r="F345" s="35">
        <v>1</v>
      </c>
      <c r="G345" s="35">
        <v>0</v>
      </c>
      <c r="H345" s="36">
        <v>0</v>
      </c>
      <c r="I345" s="36">
        <v>0</v>
      </c>
      <c r="J345" s="37">
        <v>0</v>
      </c>
      <c r="K345" s="37">
        <v>0.24</v>
      </c>
      <c r="L345" s="36">
        <v>3.0000000000000001E-3</v>
      </c>
    </row>
    <row r="346" spans="1:12" ht="15" customHeight="1">
      <c r="A346" s="305"/>
      <c r="B346" s="268"/>
      <c r="C346" s="60" t="s">
        <v>88</v>
      </c>
      <c r="D346" s="38" t="s">
        <v>89</v>
      </c>
      <c r="E346" s="34">
        <v>5</v>
      </c>
      <c r="F346" s="35">
        <v>5</v>
      </c>
      <c r="G346" s="35">
        <v>45</v>
      </c>
      <c r="H346" s="36">
        <v>0</v>
      </c>
      <c r="I346" s="36">
        <v>5</v>
      </c>
      <c r="J346" s="37">
        <v>0</v>
      </c>
      <c r="K346" s="37">
        <v>0</v>
      </c>
      <c r="L346" s="36">
        <v>0</v>
      </c>
    </row>
    <row r="347" spans="1:12" ht="25.5">
      <c r="A347" s="43" t="s">
        <v>94</v>
      </c>
      <c r="B347" s="53" t="s">
        <v>188</v>
      </c>
      <c r="C347" s="60" t="s">
        <v>161</v>
      </c>
      <c r="D347" s="33" t="s">
        <v>162</v>
      </c>
      <c r="E347" s="34">
        <v>27</v>
      </c>
      <c r="F347" s="35">
        <v>27</v>
      </c>
      <c r="G347" s="35">
        <v>125.55</v>
      </c>
      <c r="H347" s="36">
        <v>2.2680000000000002</v>
      </c>
      <c r="I347" s="36">
        <v>4.6440000000000001</v>
      </c>
      <c r="J347" s="37">
        <v>18.414000000000001</v>
      </c>
      <c r="K347" s="37">
        <v>28.89</v>
      </c>
      <c r="L347" s="36">
        <v>0.67500000000000004</v>
      </c>
    </row>
    <row r="348" spans="1:12">
      <c r="A348" s="281"/>
      <c r="B348" s="281"/>
      <c r="C348" s="281"/>
      <c r="D348" s="281"/>
      <c r="E348" s="281"/>
      <c r="F348" s="281"/>
      <c r="G348" s="281"/>
      <c r="H348" s="281"/>
      <c r="I348" s="281"/>
      <c r="J348" s="281"/>
      <c r="K348" s="281"/>
      <c r="L348" s="282"/>
    </row>
    <row r="349" spans="1:12" ht="15.75" customHeight="1">
      <c r="A349" s="277" t="s">
        <v>98</v>
      </c>
      <c r="B349" s="278"/>
      <c r="C349" s="278"/>
      <c r="D349" s="278"/>
      <c r="E349" s="278"/>
      <c r="F349" s="279"/>
      <c r="G349" s="45">
        <f>SUM(G334:G348)</f>
        <v>627.04299999999989</v>
      </c>
      <c r="H349" s="45">
        <f>SUM(H333:H348)</f>
        <v>21.489650000000001</v>
      </c>
      <c r="I349" s="45">
        <f>SUM(I334:I348)</f>
        <v>25.284849999999999</v>
      </c>
      <c r="J349" s="45">
        <f>SUM(J334:J348)</f>
        <v>76.58135</v>
      </c>
      <c r="K349" s="45">
        <f>SUM(K333:K348)</f>
        <v>182.69500000000005</v>
      </c>
      <c r="L349" s="45">
        <f>SUM(L333:L348)</f>
        <v>3.2348500000000007</v>
      </c>
    </row>
    <row r="350" spans="1:12" ht="15.75">
      <c r="A350" s="277" t="s">
        <v>99</v>
      </c>
      <c r="B350" s="278"/>
      <c r="C350" s="278"/>
      <c r="D350" s="278"/>
      <c r="E350" s="278"/>
      <c r="F350" s="279"/>
      <c r="G350" s="46">
        <v>2245</v>
      </c>
      <c r="H350" s="46">
        <v>78.5</v>
      </c>
      <c r="I350" s="46">
        <v>74.8</v>
      </c>
      <c r="J350" s="46">
        <v>314.3</v>
      </c>
      <c r="K350" s="46">
        <v>1100</v>
      </c>
      <c r="L350" s="46">
        <v>8.6999999999999993</v>
      </c>
    </row>
    <row r="351" spans="1:12" ht="15.75">
      <c r="A351" s="277" t="s">
        <v>100</v>
      </c>
      <c r="B351" s="278"/>
      <c r="C351" s="278"/>
      <c r="D351" s="278"/>
      <c r="E351" s="278"/>
      <c r="F351" s="279"/>
      <c r="G351" s="47">
        <f t="shared" ref="G351:L351" si="30">G349/G350</f>
        <v>0.27930645879732735</v>
      </c>
      <c r="H351" s="47">
        <f t="shared" si="30"/>
        <v>0.27375350318471336</v>
      </c>
      <c r="I351" s="48">
        <f t="shared" si="30"/>
        <v>0.33803275401069516</v>
      </c>
      <c r="J351" s="47">
        <f t="shared" si="30"/>
        <v>0.24365685650652241</v>
      </c>
      <c r="K351" s="47">
        <f t="shared" si="30"/>
        <v>0.16608636363636367</v>
      </c>
      <c r="L351" s="47">
        <f t="shared" si="30"/>
        <v>0.3718218390804599</v>
      </c>
    </row>
    <row r="352" spans="1:12" ht="15.75">
      <c r="A352" s="82"/>
      <c r="B352" s="83"/>
      <c r="C352" s="83"/>
      <c r="D352" s="83"/>
      <c r="E352" s="83"/>
      <c r="F352" s="83"/>
      <c r="G352" s="84"/>
      <c r="H352" s="84"/>
      <c r="I352" s="84"/>
      <c r="J352" s="84"/>
      <c r="K352" s="84"/>
      <c r="L352" s="85"/>
    </row>
    <row r="353" spans="1:12">
      <c r="A353" s="280"/>
      <c r="B353" s="281"/>
      <c r="C353" s="281"/>
      <c r="D353" s="281"/>
      <c r="E353" s="281"/>
      <c r="F353" s="281"/>
      <c r="G353" s="281"/>
      <c r="H353" s="281"/>
      <c r="I353" s="281"/>
      <c r="J353" s="281"/>
      <c r="K353" s="281"/>
      <c r="L353" s="282"/>
    </row>
    <row r="354" spans="1:12" ht="15.75">
      <c r="A354" s="259" t="s">
        <v>101</v>
      </c>
      <c r="B354" s="260"/>
      <c r="C354" s="260"/>
      <c r="D354" s="260"/>
      <c r="E354" s="260"/>
      <c r="F354" s="261"/>
      <c r="G354" s="245" t="s">
        <v>102</v>
      </c>
      <c r="H354" s="246"/>
      <c r="I354" s="246"/>
      <c r="J354" s="246"/>
      <c r="K354" s="246"/>
      <c r="L354" s="247"/>
    </row>
    <row r="355" spans="1:12" ht="30.75" customHeight="1">
      <c r="A355" s="50" t="s">
        <v>103</v>
      </c>
      <c r="B355" s="257"/>
      <c r="C355" s="257"/>
      <c r="D355" s="257"/>
      <c r="E355" s="257"/>
      <c r="F355" s="257"/>
      <c r="G355" s="283" t="s">
        <v>104</v>
      </c>
      <c r="H355" s="283"/>
      <c r="I355" s="283"/>
      <c r="J355" s="292" t="str">
        <f t="shared" ref="J355" si="31">$J$30</f>
        <v>MND 1192925014</v>
      </c>
      <c r="K355" s="293"/>
      <c r="L355" s="294"/>
    </row>
    <row r="356" spans="1:12">
      <c r="A356" s="86"/>
      <c r="B356" s="87"/>
      <c r="C356" s="87"/>
      <c r="D356" s="87"/>
      <c r="E356" s="87"/>
      <c r="F356" s="87"/>
      <c r="G356" s="88"/>
      <c r="H356" s="88"/>
      <c r="I356" s="88"/>
      <c r="J356" s="87"/>
      <c r="K356" s="87"/>
      <c r="L356" s="87"/>
    </row>
    <row r="357" spans="1:12" ht="15" customHeight="1">
      <c r="A357" s="227" t="s">
        <v>217</v>
      </c>
      <c r="B357" s="228"/>
      <c r="C357" s="228"/>
      <c r="D357" s="228"/>
      <c r="E357" s="228"/>
      <c r="F357" s="228"/>
      <c r="G357" s="228"/>
      <c r="H357" s="228"/>
      <c r="I357" s="228"/>
      <c r="J357" s="228"/>
      <c r="K357" s="228"/>
      <c r="L357" s="229"/>
    </row>
    <row r="358" spans="1:12" ht="15" customHeight="1">
      <c r="A358" s="231" t="s">
        <v>55</v>
      </c>
      <c r="B358" s="233" t="s">
        <v>56</v>
      </c>
      <c r="C358" s="235" t="s">
        <v>57</v>
      </c>
      <c r="D358" s="233" t="s">
        <v>58</v>
      </c>
      <c r="E358" s="237" t="s">
        <v>59</v>
      </c>
      <c r="F358" s="237" t="s">
        <v>60</v>
      </c>
      <c r="G358" s="269" t="s">
        <v>61</v>
      </c>
      <c r="H358" s="270"/>
      <c r="I358" s="270"/>
      <c r="J358" s="270"/>
      <c r="K358" s="270"/>
      <c r="L358" s="271"/>
    </row>
    <row r="359" spans="1:12" ht="15" customHeight="1">
      <c r="A359" s="255"/>
      <c r="B359" s="262"/>
      <c r="C359" s="263"/>
      <c r="D359" s="262"/>
      <c r="E359" s="264"/>
      <c r="F359" s="264"/>
      <c r="G359" s="51" t="s">
        <v>62</v>
      </c>
      <c r="H359" s="31" t="s">
        <v>63</v>
      </c>
      <c r="I359" s="31" t="s">
        <v>64</v>
      </c>
      <c r="J359" s="31" t="s">
        <v>65</v>
      </c>
      <c r="K359" s="31" t="s">
        <v>66</v>
      </c>
      <c r="L359" s="31" t="s">
        <v>67</v>
      </c>
    </row>
    <row r="360" spans="1:12" ht="15.75" customHeight="1">
      <c r="A360" s="231" t="s">
        <v>107</v>
      </c>
      <c r="B360" s="252" t="s">
        <v>151</v>
      </c>
      <c r="C360" s="60" t="s">
        <v>152</v>
      </c>
      <c r="D360" s="38" t="s">
        <v>153</v>
      </c>
      <c r="E360" s="39">
        <v>13</v>
      </c>
      <c r="F360" s="35">
        <v>13</v>
      </c>
      <c r="G360" s="35">
        <v>53.82</v>
      </c>
      <c r="H360" s="36">
        <v>1.911</v>
      </c>
      <c r="I360" s="36">
        <v>1.1179999999999999</v>
      </c>
      <c r="J360" s="37">
        <v>8.6059999999999999</v>
      </c>
      <c r="K360" s="37">
        <v>7.02</v>
      </c>
      <c r="L360" s="36">
        <v>0.52</v>
      </c>
    </row>
    <row r="361" spans="1:12">
      <c r="A361" s="256"/>
      <c r="B361" s="254"/>
      <c r="C361" s="60" t="s">
        <v>74</v>
      </c>
      <c r="D361" s="38" t="s">
        <v>75</v>
      </c>
      <c r="E361" s="39">
        <v>12</v>
      </c>
      <c r="F361" s="35">
        <v>12</v>
      </c>
      <c r="G361" s="35">
        <v>47.64</v>
      </c>
      <c r="H361" s="36">
        <v>0</v>
      </c>
      <c r="I361" s="36">
        <v>0</v>
      </c>
      <c r="J361" s="37">
        <v>11.915999999999999</v>
      </c>
      <c r="K361" s="37">
        <v>0</v>
      </c>
      <c r="L361" s="36">
        <v>1.2000000000000002E-2</v>
      </c>
    </row>
    <row r="362" spans="1:12" ht="15" customHeight="1">
      <c r="A362" s="231" t="s">
        <v>76</v>
      </c>
      <c r="B362" s="252" t="s">
        <v>218</v>
      </c>
      <c r="C362" s="60" t="s">
        <v>219</v>
      </c>
      <c r="D362" s="38" t="s">
        <v>220</v>
      </c>
      <c r="E362" s="39">
        <v>50</v>
      </c>
      <c r="F362" s="35">
        <v>50</v>
      </c>
      <c r="G362" s="35">
        <v>105.5</v>
      </c>
      <c r="H362" s="36">
        <v>12.75</v>
      </c>
      <c r="I362" s="36">
        <v>6.05</v>
      </c>
      <c r="J362" s="37">
        <v>0</v>
      </c>
      <c r="K362" s="37">
        <v>4</v>
      </c>
      <c r="L362" s="36">
        <v>0.75</v>
      </c>
    </row>
    <row r="363" spans="1:12">
      <c r="A363" s="255"/>
      <c r="B363" s="253"/>
      <c r="C363" s="60" t="s">
        <v>80</v>
      </c>
      <c r="D363" s="38" t="s">
        <v>81</v>
      </c>
      <c r="E363" s="39">
        <v>10</v>
      </c>
      <c r="F363" s="35">
        <v>9.5</v>
      </c>
      <c r="G363" s="35">
        <v>3.8</v>
      </c>
      <c r="H363" s="36">
        <v>0.13299999999999998</v>
      </c>
      <c r="I363" s="36">
        <v>9.5000000000000015E-3</v>
      </c>
      <c r="J363" s="37">
        <v>0.73150000000000004</v>
      </c>
      <c r="K363" s="37">
        <v>2.2799999999999998</v>
      </c>
      <c r="L363" s="36">
        <v>2.8500000000000001E-2</v>
      </c>
    </row>
    <row r="364" spans="1:12">
      <c r="A364" s="255"/>
      <c r="B364" s="253"/>
      <c r="C364" s="60" t="s">
        <v>114</v>
      </c>
      <c r="D364" s="38" t="s">
        <v>115</v>
      </c>
      <c r="E364" s="39">
        <v>10</v>
      </c>
      <c r="F364" s="35">
        <v>4</v>
      </c>
      <c r="G364" s="35">
        <v>1.48</v>
      </c>
      <c r="H364" s="36">
        <v>4.8000000000000001E-2</v>
      </c>
      <c r="I364" s="36">
        <v>4.0000000000000001E-3</v>
      </c>
      <c r="J364" s="37">
        <v>0.27200000000000002</v>
      </c>
      <c r="K364" s="37">
        <v>2.2799999999999998</v>
      </c>
      <c r="L364" s="36">
        <v>0.02</v>
      </c>
    </row>
    <row r="365" spans="1:12">
      <c r="A365" s="255"/>
      <c r="B365" s="253"/>
      <c r="C365" s="60" t="s">
        <v>82</v>
      </c>
      <c r="D365" s="38" t="s">
        <v>83</v>
      </c>
      <c r="E365" s="39">
        <v>10</v>
      </c>
      <c r="F365" s="35">
        <v>8</v>
      </c>
      <c r="G365" s="35">
        <v>1.84</v>
      </c>
      <c r="H365" s="36">
        <v>7.2000000000000008E-2</v>
      </c>
      <c r="I365" s="36">
        <v>8.0000000000000002E-3</v>
      </c>
      <c r="J365" s="37">
        <v>0.32799999999999996</v>
      </c>
      <c r="K365" s="37">
        <v>0.72</v>
      </c>
      <c r="L365" s="36">
        <v>0.04</v>
      </c>
    </row>
    <row r="366" spans="1:12">
      <c r="A366" s="255"/>
      <c r="B366" s="253"/>
      <c r="C366" s="60" t="s">
        <v>116</v>
      </c>
      <c r="D366" s="38" t="s">
        <v>117</v>
      </c>
      <c r="E366" s="39">
        <v>10</v>
      </c>
      <c r="F366" s="35">
        <v>8.5</v>
      </c>
      <c r="G366" s="35">
        <v>2.9750000000000001</v>
      </c>
      <c r="H366" s="36">
        <v>8.5000000000000006E-2</v>
      </c>
      <c r="I366" s="36">
        <v>2.5499999999999998E-2</v>
      </c>
      <c r="J366" s="37">
        <v>0.53549999999999998</v>
      </c>
      <c r="K366" s="37">
        <v>0.59499999999999997</v>
      </c>
      <c r="L366" s="36">
        <v>3.4000000000000002E-2</v>
      </c>
    </row>
    <row r="367" spans="1:12">
      <c r="A367" s="255"/>
      <c r="B367" s="253"/>
      <c r="C367" s="60" t="s">
        <v>84</v>
      </c>
      <c r="D367" s="52" t="s">
        <v>85</v>
      </c>
      <c r="E367" s="34">
        <v>1</v>
      </c>
      <c r="F367" s="35">
        <v>0.95</v>
      </c>
      <c r="G367" s="35">
        <v>1.3679999999999999</v>
      </c>
      <c r="H367" s="36">
        <v>4.4649999999999995E-2</v>
      </c>
      <c r="I367" s="36">
        <v>2.8499999999999997E-3</v>
      </c>
      <c r="J367" s="37">
        <v>0.27834999999999999</v>
      </c>
      <c r="K367" s="37">
        <v>0.38</v>
      </c>
      <c r="L367" s="36">
        <v>1.2349999999999998E-2</v>
      </c>
    </row>
    <row r="368" spans="1:12">
      <c r="A368" s="255"/>
      <c r="B368" s="253"/>
      <c r="C368" s="60" t="s">
        <v>88</v>
      </c>
      <c r="D368" s="52" t="s">
        <v>89</v>
      </c>
      <c r="E368" s="34">
        <v>5</v>
      </c>
      <c r="F368" s="35">
        <v>5</v>
      </c>
      <c r="G368" s="35">
        <v>45</v>
      </c>
      <c r="H368" s="36">
        <v>0</v>
      </c>
      <c r="I368" s="36">
        <v>5</v>
      </c>
      <c r="J368" s="37">
        <v>0</v>
      </c>
      <c r="K368" s="37">
        <v>0</v>
      </c>
      <c r="L368" s="36">
        <v>0</v>
      </c>
    </row>
    <row r="369" spans="1:12" ht="15" customHeight="1">
      <c r="A369" s="256"/>
      <c r="B369" s="254"/>
      <c r="C369" s="60" t="s">
        <v>86</v>
      </c>
      <c r="D369" s="38" t="s">
        <v>87</v>
      </c>
      <c r="E369" s="40">
        <v>1</v>
      </c>
      <c r="F369" s="35">
        <v>1</v>
      </c>
      <c r="G369" s="35">
        <v>0</v>
      </c>
      <c r="H369" s="36">
        <v>0</v>
      </c>
      <c r="I369" s="36">
        <v>0</v>
      </c>
      <c r="J369" s="37">
        <v>0</v>
      </c>
      <c r="K369" s="37">
        <v>0.24</v>
      </c>
      <c r="L369" s="36">
        <v>3.0000000000000001E-3</v>
      </c>
    </row>
    <row r="370" spans="1:12" ht="15" customHeight="1">
      <c r="A370" s="231" t="s">
        <v>90</v>
      </c>
      <c r="B370" s="252" t="s">
        <v>211</v>
      </c>
      <c r="C370" s="60" t="s">
        <v>145</v>
      </c>
      <c r="D370" s="38" t="s">
        <v>146</v>
      </c>
      <c r="E370" s="39">
        <v>50</v>
      </c>
      <c r="F370" s="35">
        <v>50</v>
      </c>
      <c r="G370" s="35">
        <v>176.5</v>
      </c>
      <c r="H370" s="36">
        <v>3.35</v>
      </c>
      <c r="I370" s="36">
        <v>0.2</v>
      </c>
      <c r="J370" s="37">
        <v>40.049999999999997</v>
      </c>
      <c r="K370" s="37">
        <v>4.5</v>
      </c>
      <c r="L370" s="36">
        <v>0.4</v>
      </c>
    </row>
    <row r="371" spans="1:12" ht="15" customHeight="1">
      <c r="A371" s="255"/>
      <c r="B371" s="253"/>
      <c r="C371" s="60" t="s">
        <v>114</v>
      </c>
      <c r="D371" s="38" t="s">
        <v>115</v>
      </c>
      <c r="E371" s="39">
        <v>10</v>
      </c>
      <c r="F371" s="35">
        <v>4</v>
      </c>
      <c r="G371" s="35">
        <v>1.48</v>
      </c>
      <c r="H371" s="36">
        <v>4.8000000000000001E-2</v>
      </c>
      <c r="I371" s="36">
        <v>4.0000000000000001E-3</v>
      </c>
      <c r="J371" s="37">
        <v>0.27200000000000002</v>
      </c>
      <c r="K371" s="37">
        <v>2.2799999999999998</v>
      </c>
      <c r="L371" s="36">
        <v>0.02</v>
      </c>
    </row>
    <row r="372" spans="1:12">
      <c r="A372" s="255"/>
      <c r="B372" s="253"/>
      <c r="C372" s="60" t="s">
        <v>86</v>
      </c>
      <c r="D372" s="38" t="s">
        <v>87</v>
      </c>
      <c r="E372" s="40">
        <v>1</v>
      </c>
      <c r="F372" s="35">
        <v>1</v>
      </c>
      <c r="G372" s="35">
        <v>0</v>
      </c>
      <c r="H372" s="36">
        <v>0</v>
      </c>
      <c r="I372" s="36">
        <v>0</v>
      </c>
      <c r="J372" s="37">
        <v>0</v>
      </c>
      <c r="K372" s="37">
        <v>0.24</v>
      </c>
      <c r="L372" s="36">
        <v>3.0000000000000001E-3</v>
      </c>
    </row>
    <row r="373" spans="1:12">
      <c r="A373" s="256"/>
      <c r="B373" s="254"/>
      <c r="C373" s="60" t="s">
        <v>88</v>
      </c>
      <c r="D373" s="38" t="s">
        <v>89</v>
      </c>
      <c r="E373" s="39">
        <v>5</v>
      </c>
      <c r="F373" s="35">
        <v>5</v>
      </c>
      <c r="G373" s="35">
        <v>45</v>
      </c>
      <c r="H373" s="36">
        <v>0</v>
      </c>
      <c r="I373" s="36">
        <v>5</v>
      </c>
      <c r="J373" s="37">
        <v>0</v>
      </c>
      <c r="K373" s="37">
        <v>0</v>
      </c>
      <c r="L373" s="36">
        <v>0</v>
      </c>
    </row>
    <row r="374" spans="1:12" ht="25.5">
      <c r="A374" s="43" t="s">
        <v>94</v>
      </c>
      <c r="B374" s="44"/>
      <c r="C374" s="60"/>
      <c r="D374" s="38"/>
      <c r="E374" s="40"/>
      <c r="F374" s="35"/>
      <c r="G374" s="35"/>
      <c r="H374" s="36"/>
      <c r="I374" s="36"/>
      <c r="J374" s="37"/>
      <c r="K374" s="37"/>
      <c r="L374" s="36"/>
    </row>
    <row r="375" spans="1:12">
      <c r="A375" s="89"/>
      <c r="B375" s="90"/>
      <c r="C375" s="67"/>
      <c r="D375" s="68"/>
      <c r="E375" s="91"/>
      <c r="F375" s="70"/>
      <c r="G375" s="35"/>
      <c r="H375" s="36"/>
      <c r="I375" s="36"/>
      <c r="J375" s="37"/>
      <c r="K375" s="37"/>
      <c r="L375" s="36"/>
    </row>
    <row r="376" spans="1:12" ht="15.75">
      <c r="A376" s="277" t="s">
        <v>98</v>
      </c>
      <c r="B376" s="278"/>
      <c r="C376" s="278"/>
      <c r="D376" s="278"/>
      <c r="E376" s="278"/>
      <c r="F376" s="279"/>
      <c r="G376" s="45">
        <f>SUM(G360:G374)</f>
        <v>486.40300000000002</v>
      </c>
      <c r="H376" s="45">
        <f>SUM(H359:H374)</f>
        <v>18.441649999999999</v>
      </c>
      <c r="I376" s="45">
        <f>SUM(I360:I374)</f>
        <v>17.421849999999999</v>
      </c>
      <c r="J376" s="45">
        <f>SUM(J360:J374)</f>
        <v>62.989349999999995</v>
      </c>
      <c r="K376" s="45">
        <f>SUM(K359:K374)</f>
        <v>24.534999999999993</v>
      </c>
      <c r="L376" s="45">
        <f>SUM(L359:L374)</f>
        <v>1.8428500000000001</v>
      </c>
    </row>
    <row r="377" spans="1:12" ht="15.75">
      <c r="A377" s="277" t="s">
        <v>99</v>
      </c>
      <c r="B377" s="278"/>
      <c r="C377" s="278"/>
      <c r="D377" s="278"/>
      <c r="E377" s="278"/>
      <c r="F377" s="279"/>
      <c r="G377" s="46">
        <v>2245</v>
      </c>
      <c r="H377" s="46">
        <v>78.5</v>
      </c>
      <c r="I377" s="46">
        <v>74.8</v>
      </c>
      <c r="J377" s="46">
        <v>314.3</v>
      </c>
      <c r="K377" s="46">
        <v>1100</v>
      </c>
      <c r="L377" s="46">
        <v>8.6999999999999993</v>
      </c>
    </row>
    <row r="378" spans="1:12" ht="15.75">
      <c r="A378" s="277" t="s">
        <v>100</v>
      </c>
      <c r="B378" s="278"/>
      <c r="C378" s="278"/>
      <c r="D378" s="278"/>
      <c r="E378" s="278"/>
      <c r="F378" s="279"/>
      <c r="G378" s="47">
        <f t="shared" ref="G378:L378" si="32">G376/G377</f>
        <v>0.21666057906458799</v>
      </c>
      <c r="H378" s="47">
        <f t="shared" si="32"/>
        <v>0.23492547770700636</v>
      </c>
      <c r="I378" s="48">
        <f t="shared" si="32"/>
        <v>0.2329124331550802</v>
      </c>
      <c r="J378" s="47">
        <f t="shared" si="32"/>
        <v>0.20041154947502385</v>
      </c>
      <c r="K378" s="47">
        <f t="shared" si="32"/>
        <v>2.2304545454545448E-2</v>
      </c>
      <c r="L378" s="47">
        <f t="shared" si="32"/>
        <v>0.21182183908045979</v>
      </c>
    </row>
    <row r="379" spans="1:12" ht="15.75">
      <c r="A379" s="82"/>
      <c r="B379" s="83"/>
      <c r="C379" s="83"/>
      <c r="D379" s="83"/>
      <c r="E379" s="83"/>
      <c r="F379" s="83"/>
      <c r="G379" s="84"/>
      <c r="H379" s="84"/>
      <c r="I379" s="84"/>
      <c r="J379" s="84"/>
      <c r="K379" s="84"/>
      <c r="L379" s="85"/>
    </row>
    <row r="380" spans="1:12">
      <c r="A380" s="280"/>
      <c r="B380" s="281"/>
      <c r="C380" s="281"/>
      <c r="D380" s="281"/>
      <c r="E380" s="281"/>
      <c r="F380" s="281"/>
      <c r="G380" s="281"/>
      <c r="H380" s="281"/>
      <c r="I380" s="281"/>
      <c r="J380" s="281"/>
      <c r="K380" s="281"/>
      <c r="L380" s="282"/>
    </row>
    <row r="381" spans="1:12" ht="15.75">
      <c r="A381" s="289" t="s">
        <v>101</v>
      </c>
      <c r="B381" s="290"/>
      <c r="C381" s="290"/>
      <c r="D381" s="290"/>
      <c r="E381" s="290"/>
      <c r="F381" s="291"/>
      <c r="G381" s="245" t="s">
        <v>102</v>
      </c>
      <c r="H381" s="246"/>
      <c r="I381" s="246"/>
      <c r="J381" s="246"/>
      <c r="K381" s="246"/>
      <c r="L381" s="247"/>
    </row>
    <row r="382" spans="1:12" ht="30.75" customHeight="1">
      <c r="A382" s="50" t="s">
        <v>103</v>
      </c>
      <c r="B382" s="257"/>
      <c r="C382" s="257"/>
      <c r="D382" s="257"/>
      <c r="E382" s="257"/>
      <c r="F382" s="257"/>
      <c r="G382" s="283" t="s">
        <v>104</v>
      </c>
      <c r="H382" s="283"/>
      <c r="I382" s="283"/>
      <c r="J382" s="292" t="str">
        <f t="shared" ref="J382" si="33">$J$30</f>
        <v>MND 1192925014</v>
      </c>
      <c r="K382" s="293"/>
      <c r="L382" s="294"/>
    </row>
    <row r="383" spans="1:12" ht="15" customHeight="1">
      <c r="A383" s="321"/>
      <c r="B383" s="321"/>
      <c r="C383" s="321"/>
      <c r="D383" s="321"/>
      <c r="E383" s="321"/>
      <c r="F383" s="321"/>
      <c r="G383" s="321"/>
      <c r="H383" s="321"/>
      <c r="I383" s="321"/>
      <c r="J383" s="321"/>
      <c r="K383" s="321"/>
      <c r="L383" s="321"/>
    </row>
    <row r="384" spans="1:12">
      <c r="A384" s="227" t="s">
        <v>221</v>
      </c>
      <c r="B384" s="228"/>
      <c r="C384" s="228"/>
      <c r="D384" s="228"/>
      <c r="E384" s="228"/>
      <c r="F384" s="228"/>
      <c r="G384" s="228"/>
      <c r="H384" s="228"/>
      <c r="I384" s="228"/>
      <c r="J384" s="228"/>
      <c r="K384" s="228"/>
      <c r="L384" s="229"/>
    </row>
    <row r="385" spans="1:12" ht="15" customHeight="1">
      <c r="A385" s="231" t="s">
        <v>55</v>
      </c>
      <c r="B385" s="233" t="s">
        <v>56</v>
      </c>
      <c r="C385" s="235" t="s">
        <v>57</v>
      </c>
      <c r="D385" s="233" t="s">
        <v>58</v>
      </c>
      <c r="E385" s="237" t="s">
        <v>59</v>
      </c>
      <c r="F385" s="237" t="s">
        <v>60</v>
      </c>
      <c r="G385" s="269" t="s">
        <v>61</v>
      </c>
      <c r="H385" s="270"/>
      <c r="I385" s="270"/>
      <c r="J385" s="270"/>
      <c r="K385" s="270"/>
      <c r="L385" s="271"/>
    </row>
    <row r="386" spans="1:12" ht="22.5">
      <c r="A386" s="255"/>
      <c r="B386" s="262"/>
      <c r="C386" s="263"/>
      <c r="D386" s="262"/>
      <c r="E386" s="264"/>
      <c r="F386" s="264"/>
      <c r="G386" s="51" t="s">
        <v>62</v>
      </c>
      <c r="H386" s="31" t="s">
        <v>63</v>
      </c>
      <c r="I386" s="31" t="s">
        <v>64</v>
      </c>
      <c r="J386" s="31" t="s">
        <v>65</v>
      </c>
      <c r="K386" s="31" t="s">
        <v>66</v>
      </c>
      <c r="L386" s="31" t="s">
        <v>67</v>
      </c>
    </row>
    <row r="387" spans="1:12" ht="21" customHeight="1">
      <c r="A387" s="235" t="s">
        <v>107</v>
      </c>
      <c r="B387" s="267" t="s">
        <v>69</v>
      </c>
      <c r="C387" s="60" t="s">
        <v>179</v>
      </c>
      <c r="D387" s="38" t="s">
        <v>180</v>
      </c>
      <c r="E387" s="39">
        <v>15</v>
      </c>
      <c r="F387" s="35">
        <v>15</v>
      </c>
      <c r="G387" s="35">
        <v>54.45</v>
      </c>
      <c r="H387" s="36">
        <v>1.41</v>
      </c>
      <c r="I387" s="36">
        <v>0.56999999999999995</v>
      </c>
      <c r="J387" s="37">
        <v>10.83</v>
      </c>
      <c r="K387" s="37">
        <v>0.6</v>
      </c>
      <c r="L387" s="36">
        <v>0.36</v>
      </c>
    </row>
    <row r="388" spans="1:12" ht="15.75" customHeight="1">
      <c r="A388" s="263"/>
      <c r="B388" s="273"/>
      <c r="C388" s="60" t="s">
        <v>70</v>
      </c>
      <c r="D388" s="38" t="s">
        <v>71</v>
      </c>
      <c r="E388" s="39">
        <v>20</v>
      </c>
      <c r="F388" s="35">
        <v>20</v>
      </c>
      <c r="G388" s="35">
        <v>99.8</v>
      </c>
      <c r="H388" s="36">
        <v>5.26</v>
      </c>
      <c r="I388" s="36">
        <v>5.32</v>
      </c>
      <c r="J388" s="37">
        <v>7.68</v>
      </c>
      <c r="K388" s="37">
        <v>188</v>
      </c>
      <c r="L388" s="36">
        <v>0.1</v>
      </c>
    </row>
    <row r="389" spans="1:12" ht="17.25" customHeight="1">
      <c r="A389" s="305"/>
      <c r="B389" s="268"/>
      <c r="C389" s="60" t="s">
        <v>74</v>
      </c>
      <c r="D389" s="38" t="s">
        <v>75</v>
      </c>
      <c r="E389" s="39">
        <v>10</v>
      </c>
      <c r="F389" s="35">
        <v>65</v>
      </c>
      <c r="G389" s="35">
        <v>258.05</v>
      </c>
      <c r="H389" s="36">
        <v>0</v>
      </c>
      <c r="I389" s="36">
        <v>0</v>
      </c>
      <c r="J389" s="37">
        <v>64.545000000000002</v>
      </c>
      <c r="K389" s="37">
        <v>0</v>
      </c>
      <c r="L389" s="36">
        <v>6.5000000000000002E-2</v>
      </c>
    </row>
    <row r="390" spans="1:12" ht="21" customHeight="1">
      <c r="A390" s="235" t="s">
        <v>76</v>
      </c>
      <c r="B390" s="267" t="s">
        <v>222</v>
      </c>
      <c r="C390" s="60" t="s">
        <v>78</v>
      </c>
      <c r="D390" s="38" t="s">
        <v>79</v>
      </c>
      <c r="E390" s="39">
        <v>55</v>
      </c>
      <c r="F390" s="35">
        <v>49.5</v>
      </c>
      <c r="G390" s="35">
        <v>73.754999999999995</v>
      </c>
      <c r="H390" s="36">
        <v>6.2369999999999992</v>
      </c>
      <c r="I390" s="36">
        <v>5.3460000000000001</v>
      </c>
      <c r="J390" s="37">
        <v>0.14849999999999999</v>
      </c>
      <c r="K390" s="37">
        <v>26.234999999999999</v>
      </c>
      <c r="L390" s="36">
        <v>0.84149999999999991</v>
      </c>
    </row>
    <row r="391" spans="1:12" ht="21" customHeight="1">
      <c r="A391" s="263"/>
      <c r="B391" s="273"/>
      <c r="C391" s="60" t="s">
        <v>80</v>
      </c>
      <c r="D391" s="38" t="s">
        <v>81</v>
      </c>
      <c r="E391" s="39">
        <v>10</v>
      </c>
      <c r="F391" s="35">
        <v>9.5</v>
      </c>
      <c r="G391" s="35">
        <v>3.8</v>
      </c>
      <c r="H391" s="36">
        <v>0.13299999999999998</v>
      </c>
      <c r="I391" s="36">
        <v>9.5000000000000015E-3</v>
      </c>
      <c r="J391" s="37">
        <v>0.73150000000000004</v>
      </c>
      <c r="K391" s="37">
        <v>2.2799999999999998</v>
      </c>
      <c r="L391" s="36">
        <v>2.8500000000000001E-2</v>
      </c>
    </row>
    <row r="392" spans="1:12" ht="17.25" customHeight="1">
      <c r="A392" s="263"/>
      <c r="B392" s="273"/>
      <c r="C392" s="60" t="s">
        <v>82</v>
      </c>
      <c r="D392" s="38" t="s">
        <v>83</v>
      </c>
      <c r="E392" s="39">
        <v>10</v>
      </c>
      <c r="F392" s="35">
        <v>8</v>
      </c>
      <c r="G392" s="35">
        <v>1.84</v>
      </c>
      <c r="H392" s="36">
        <v>7.2000000000000008E-2</v>
      </c>
      <c r="I392" s="36">
        <v>8.0000000000000002E-3</v>
      </c>
      <c r="J392" s="37">
        <v>0.32799999999999996</v>
      </c>
      <c r="K392" s="37">
        <v>0.72</v>
      </c>
      <c r="L392" s="36">
        <v>0.04</v>
      </c>
    </row>
    <row r="393" spans="1:12" ht="17.25" customHeight="1">
      <c r="A393" s="263"/>
      <c r="B393" s="273"/>
      <c r="C393" s="60" t="s">
        <v>86</v>
      </c>
      <c r="D393" s="38" t="s">
        <v>87</v>
      </c>
      <c r="E393" s="40">
        <v>1</v>
      </c>
      <c r="F393" s="35">
        <v>1</v>
      </c>
      <c r="G393" s="35">
        <v>0</v>
      </c>
      <c r="H393" s="36">
        <v>0</v>
      </c>
      <c r="I393" s="36">
        <v>0</v>
      </c>
      <c r="J393" s="37">
        <v>0</v>
      </c>
      <c r="K393" s="37">
        <v>0.24</v>
      </c>
      <c r="L393" s="36">
        <v>3.0000000000000001E-3</v>
      </c>
    </row>
    <row r="394" spans="1:12">
      <c r="A394" s="305"/>
      <c r="B394" s="268"/>
      <c r="C394" s="60" t="s">
        <v>88</v>
      </c>
      <c r="D394" s="38" t="s">
        <v>89</v>
      </c>
      <c r="E394" s="34">
        <v>5</v>
      </c>
      <c r="F394" s="35">
        <v>5</v>
      </c>
      <c r="G394" s="35">
        <v>45</v>
      </c>
      <c r="H394" s="36">
        <v>0</v>
      </c>
      <c r="I394" s="36">
        <v>5</v>
      </c>
      <c r="J394" s="37">
        <v>0</v>
      </c>
      <c r="K394" s="37">
        <v>0</v>
      </c>
      <c r="L394" s="36">
        <v>0</v>
      </c>
    </row>
    <row r="395" spans="1:12" ht="15" customHeight="1">
      <c r="A395" s="235" t="s">
        <v>90</v>
      </c>
      <c r="B395" s="267" t="s">
        <v>130</v>
      </c>
      <c r="C395" s="60" t="s">
        <v>131</v>
      </c>
      <c r="D395" s="38" t="s">
        <v>132</v>
      </c>
      <c r="E395" s="40">
        <v>200</v>
      </c>
      <c r="F395" s="35">
        <v>120</v>
      </c>
      <c r="G395" s="35">
        <v>153.6</v>
      </c>
      <c r="H395" s="36">
        <v>1.56</v>
      </c>
      <c r="I395" s="36">
        <v>0.12</v>
      </c>
      <c r="J395" s="37">
        <v>36.36</v>
      </c>
      <c r="K395" s="37">
        <v>4.8</v>
      </c>
      <c r="L395" s="36">
        <v>0.84</v>
      </c>
    </row>
    <row r="396" spans="1:12">
      <c r="A396" s="305"/>
      <c r="B396" s="268"/>
      <c r="C396" s="60" t="s">
        <v>86</v>
      </c>
      <c r="D396" s="38" t="s">
        <v>87</v>
      </c>
      <c r="E396" s="40">
        <v>1</v>
      </c>
      <c r="F396" s="35">
        <v>1</v>
      </c>
      <c r="G396" s="35">
        <v>0</v>
      </c>
      <c r="H396" s="36">
        <v>0</v>
      </c>
      <c r="I396" s="36">
        <v>0</v>
      </c>
      <c r="J396" s="37">
        <v>0</v>
      </c>
      <c r="K396" s="37">
        <v>0.24</v>
      </c>
      <c r="L396" s="36">
        <v>3.0000000000000001E-3</v>
      </c>
    </row>
    <row r="397" spans="1:12" ht="25.5">
      <c r="A397" s="43" t="s">
        <v>94</v>
      </c>
      <c r="B397" s="53" t="s">
        <v>95</v>
      </c>
      <c r="C397" s="60" t="s">
        <v>96</v>
      </c>
      <c r="D397" s="78" t="s">
        <v>97</v>
      </c>
      <c r="E397" s="64">
        <v>100</v>
      </c>
      <c r="F397" s="35">
        <v>70</v>
      </c>
      <c r="G397" s="35">
        <v>70.7</v>
      </c>
      <c r="H397" s="36">
        <v>1.05</v>
      </c>
      <c r="I397" s="36">
        <v>7.0000000000000007E-2</v>
      </c>
      <c r="J397" s="37">
        <v>15.61</v>
      </c>
      <c r="K397" s="37">
        <v>5.6</v>
      </c>
      <c r="L397" s="36">
        <v>0.63</v>
      </c>
    </row>
    <row r="398" spans="1:12">
      <c r="A398" s="281"/>
      <c r="B398" s="281"/>
      <c r="C398" s="281"/>
      <c r="D398" s="281"/>
      <c r="E398" s="281"/>
      <c r="F398" s="281"/>
      <c r="G398" s="281"/>
      <c r="H398" s="281"/>
      <c r="I398" s="281"/>
      <c r="J398" s="281"/>
      <c r="K398" s="281"/>
      <c r="L398" s="282"/>
    </row>
    <row r="399" spans="1:12" ht="15.75">
      <c r="A399" s="277" t="s">
        <v>98</v>
      </c>
      <c r="B399" s="278"/>
      <c r="C399" s="278"/>
      <c r="D399" s="278"/>
      <c r="E399" s="278"/>
      <c r="F399" s="279"/>
      <c r="G399" s="45">
        <f>SUM(G384:G398)</f>
        <v>760.995</v>
      </c>
      <c r="H399" s="45">
        <f>SUM(H383:H398)</f>
        <v>15.722</v>
      </c>
      <c r="I399" s="45">
        <f>SUM(I384:I398)</f>
        <v>16.4435</v>
      </c>
      <c r="J399" s="45">
        <f>SUM(J384:J398)</f>
        <v>136.233</v>
      </c>
      <c r="K399" s="45">
        <f>SUM(K383:K398)</f>
        <v>228.715</v>
      </c>
      <c r="L399" s="45">
        <f>SUM(L383:L398)</f>
        <v>2.9109999999999996</v>
      </c>
    </row>
    <row r="400" spans="1:12" ht="15.75">
      <c r="A400" s="277" t="s">
        <v>99</v>
      </c>
      <c r="B400" s="278"/>
      <c r="C400" s="278"/>
      <c r="D400" s="278"/>
      <c r="E400" s="278"/>
      <c r="F400" s="279"/>
      <c r="G400" s="46">
        <v>2245</v>
      </c>
      <c r="H400" s="46">
        <v>78.5</v>
      </c>
      <c r="I400" s="46">
        <v>74.8</v>
      </c>
      <c r="J400" s="46">
        <v>314.3</v>
      </c>
      <c r="K400" s="46">
        <v>1100</v>
      </c>
      <c r="L400" s="46">
        <v>8.6999999999999993</v>
      </c>
    </row>
    <row r="401" spans="1:12" ht="15.75">
      <c r="A401" s="277" t="s">
        <v>100</v>
      </c>
      <c r="B401" s="278"/>
      <c r="C401" s="278"/>
      <c r="D401" s="278"/>
      <c r="E401" s="278"/>
      <c r="F401" s="279"/>
      <c r="G401" s="47">
        <f t="shared" ref="G401:L401" si="34">G399/G400</f>
        <v>0.33897327394209353</v>
      </c>
      <c r="H401" s="47">
        <f t="shared" si="34"/>
        <v>0.20028025477707007</v>
      </c>
      <c r="I401" s="48">
        <f t="shared" si="34"/>
        <v>0.21983288770053477</v>
      </c>
      <c r="J401" s="47">
        <f t="shared" si="34"/>
        <v>0.43344893413935731</v>
      </c>
      <c r="K401" s="47">
        <f t="shared" si="34"/>
        <v>0.20792272727272729</v>
      </c>
      <c r="L401" s="47">
        <f t="shared" si="34"/>
        <v>0.33459770114942528</v>
      </c>
    </row>
    <row r="402" spans="1:12" ht="15.75">
      <c r="A402" s="82"/>
      <c r="B402" s="83"/>
      <c r="C402" s="83"/>
      <c r="D402" s="83"/>
      <c r="E402" s="83"/>
      <c r="F402" s="83"/>
      <c r="G402" s="84"/>
      <c r="H402" s="84"/>
      <c r="I402" s="84"/>
      <c r="J402" s="84"/>
      <c r="K402" s="84"/>
      <c r="L402" s="85"/>
    </row>
    <row r="403" spans="1:12">
      <c r="A403" s="322"/>
      <c r="B403" s="323"/>
      <c r="C403" s="323"/>
      <c r="D403" s="323"/>
      <c r="E403" s="323"/>
      <c r="F403" s="323"/>
      <c r="G403" s="323"/>
      <c r="H403" s="323"/>
      <c r="I403" s="323"/>
      <c r="J403" s="323"/>
      <c r="K403" s="323"/>
      <c r="L403" s="324"/>
    </row>
    <row r="404" spans="1:12" ht="15.75">
      <c r="A404" s="259" t="s">
        <v>101</v>
      </c>
      <c r="B404" s="260"/>
      <c r="C404" s="260"/>
      <c r="D404" s="260"/>
      <c r="E404" s="260"/>
      <c r="F404" s="261"/>
      <c r="G404" s="245" t="s">
        <v>102</v>
      </c>
      <c r="H404" s="246"/>
      <c r="I404" s="246"/>
      <c r="J404" s="246"/>
      <c r="K404" s="246"/>
      <c r="L404" s="247"/>
    </row>
    <row r="405" spans="1:12" ht="27.75" customHeight="1">
      <c r="A405" s="50" t="s">
        <v>103</v>
      </c>
      <c r="B405" s="257"/>
      <c r="C405" s="257"/>
      <c r="D405" s="257"/>
      <c r="E405" s="257"/>
      <c r="F405" s="257"/>
      <c r="G405" s="283" t="s">
        <v>104</v>
      </c>
      <c r="H405" s="283"/>
      <c r="I405" s="283"/>
      <c r="J405" s="292" t="str">
        <f t="shared" ref="J405" si="35">$J$30</f>
        <v>MND 1192925014</v>
      </c>
      <c r="K405" s="293"/>
      <c r="L405" s="294"/>
    </row>
    <row r="406" spans="1:12">
      <c r="A406" s="280"/>
      <c r="B406" s="281"/>
      <c r="C406" s="281"/>
      <c r="D406" s="281"/>
      <c r="E406" s="281"/>
      <c r="F406" s="281"/>
      <c r="G406" s="281"/>
      <c r="H406" s="281"/>
      <c r="I406" s="281"/>
      <c r="J406" s="281"/>
      <c r="K406" s="281"/>
      <c r="L406" s="282"/>
    </row>
    <row r="407" spans="1:12">
      <c r="A407" s="227" t="s">
        <v>223</v>
      </c>
      <c r="B407" s="228"/>
      <c r="C407" s="228"/>
      <c r="D407" s="228"/>
      <c r="E407" s="228"/>
      <c r="F407" s="228"/>
      <c r="G407" s="228"/>
      <c r="H407" s="228"/>
      <c r="I407" s="228"/>
      <c r="J407" s="228"/>
      <c r="K407" s="228"/>
      <c r="L407" s="229"/>
    </row>
    <row r="408" spans="1:12" ht="15" customHeight="1">
      <c r="A408" s="231" t="s">
        <v>55</v>
      </c>
      <c r="B408" s="233" t="s">
        <v>56</v>
      </c>
      <c r="C408" s="235" t="s">
        <v>57</v>
      </c>
      <c r="D408" s="233" t="s">
        <v>58</v>
      </c>
      <c r="E408" s="237" t="s">
        <v>59</v>
      </c>
      <c r="F408" s="237" t="s">
        <v>60</v>
      </c>
      <c r="G408" s="269" t="s">
        <v>61</v>
      </c>
      <c r="H408" s="270"/>
      <c r="I408" s="270"/>
      <c r="J408" s="270"/>
      <c r="K408" s="270"/>
      <c r="L408" s="271"/>
    </row>
    <row r="409" spans="1:12" ht="22.5">
      <c r="A409" s="255"/>
      <c r="B409" s="262"/>
      <c r="C409" s="263"/>
      <c r="D409" s="262"/>
      <c r="E409" s="264"/>
      <c r="F409" s="264"/>
      <c r="G409" s="51" t="s">
        <v>62</v>
      </c>
      <c r="H409" s="31" t="s">
        <v>63</v>
      </c>
      <c r="I409" s="31" t="s">
        <v>64</v>
      </c>
      <c r="J409" s="31" t="s">
        <v>65</v>
      </c>
      <c r="K409" s="31" t="s">
        <v>66</v>
      </c>
      <c r="L409" s="31" t="s">
        <v>67</v>
      </c>
    </row>
    <row r="410" spans="1:12" ht="18" customHeight="1">
      <c r="A410" s="231" t="s">
        <v>68</v>
      </c>
      <c r="B410" s="252" t="s">
        <v>224</v>
      </c>
      <c r="C410" s="32" t="s">
        <v>165</v>
      </c>
      <c r="D410" s="33" t="s">
        <v>166</v>
      </c>
      <c r="E410" s="34">
        <v>15</v>
      </c>
      <c r="F410" s="35">
        <v>15</v>
      </c>
      <c r="G410" s="35">
        <v>57.75</v>
      </c>
      <c r="H410" s="36">
        <v>1.875</v>
      </c>
      <c r="I410" s="36">
        <v>0.27</v>
      </c>
      <c r="J410" s="37">
        <v>10.815</v>
      </c>
      <c r="K410" s="37">
        <v>5.4</v>
      </c>
      <c r="L410" s="36">
        <v>0.40500000000000003</v>
      </c>
    </row>
    <row r="411" spans="1:12" ht="18" customHeight="1">
      <c r="A411" s="255"/>
      <c r="B411" s="253"/>
      <c r="C411" s="32" t="s">
        <v>70</v>
      </c>
      <c r="D411" s="38" t="s">
        <v>71</v>
      </c>
      <c r="E411" s="39">
        <v>13</v>
      </c>
      <c r="F411" s="35">
        <v>13</v>
      </c>
      <c r="G411" s="35">
        <v>64.87</v>
      </c>
      <c r="H411" s="36">
        <v>3.4190000000000005</v>
      </c>
      <c r="I411" s="36">
        <v>3.4580000000000002</v>
      </c>
      <c r="J411" s="37">
        <v>4.992</v>
      </c>
      <c r="K411" s="37">
        <v>122.2</v>
      </c>
      <c r="L411" s="36">
        <v>6.5000000000000002E-2</v>
      </c>
    </row>
    <row r="412" spans="1:12" ht="18" customHeight="1">
      <c r="A412" s="256"/>
      <c r="B412" s="254"/>
      <c r="C412" s="32" t="s">
        <v>74</v>
      </c>
      <c r="D412" s="38" t="s">
        <v>75</v>
      </c>
      <c r="E412" s="39">
        <v>10</v>
      </c>
      <c r="F412" s="35">
        <v>10</v>
      </c>
      <c r="G412" s="35">
        <v>39.700000000000003</v>
      </c>
      <c r="H412" s="36">
        <v>0</v>
      </c>
      <c r="I412" s="36">
        <v>0</v>
      </c>
      <c r="J412" s="37">
        <v>9.93</v>
      </c>
      <c r="K412" s="37">
        <v>0</v>
      </c>
      <c r="L412" s="36">
        <v>0.01</v>
      </c>
    </row>
    <row r="413" spans="1:12" ht="15" customHeight="1">
      <c r="A413" s="231" t="s">
        <v>225</v>
      </c>
      <c r="B413" s="252" t="s">
        <v>226</v>
      </c>
      <c r="C413" s="32" t="s">
        <v>192</v>
      </c>
      <c r="D413" s="38" t="s">
        <v>227</v>
      </c>
      <c r="E413" s="39">
        <v>100</v>
      </c>
      <c r="F413" s="35">
        <v>65</v>
      </c>
      <c r="G413" s="35">
        <v>67.599999999999994</v>
      </c>
      <c r="H413" s="36">
        <v>13.39</v>
      </c>
      <c r="I413" s="36">
        <v>1.4950000000000001</v>
      </c>
      <c r="J413" s="37">
        <v>0.13</v>
      </c>
      <c r="K413" s="37">
        <v>8.4499999999999993</v>
      </c>
      <c r="L413" s="36">
        <v>1.82</v>
      </c>
    </row>
    <row r="414" spans="1:12">
      <c r="A414" s="255"/>
      <c r="B414" s="253"/>
      <c r="C414" s="32" t="s">
        <v>80</v>
      </c>
      <c r="D414" s="38" t="s">
        <v>81</v>
      </c>
      <c r="E414" s="39">
        <v>10</v>
      </c>
      <c r="F414" s="35">
        <v>9.5</v>
      </c>
      <c r="G414" s="35">
        <v>3.8</v>
      </c>
      <c r="H414" s="36">
        <v>0.13299999999999998</v>
      </c>
      <c r="I414" s="36">
        <v>9.5000000000000015E-3</v>
      </c>
      <c r="J414" s="37">
        <v>0.73150000000000004</v>
      </c>
      <c r="K414" s="37">
        <v>2.2799999999999998</v>
      </c>
      <c r="L414" s="36">
        <v>2.8500000000000001E-2</v>
      </c>
    </row>
    <row r="415" spans="1:12">
      <c r="A415" s="255"/>
      <c r="B415" s="253"/>
      <c r="C415" s="32" t="s">
        <v>114</v>
      </c>
      <c r="D415" s="38" t="s">
        <v>115</v>
      </c>
      <c r="E415" s="39">
        <v>10</v>
      </c>
      <c r="F415" s="35">
        <v>4</v>
      </c>
      <c r="G415" s="35">
        <v>1.48</v>
      </c>
      <c r="H415" s="36">
        <v>4.8000000000000001E-2</v>
      </c>
      <c r="I415" s="36">
        <v>4.0000000000000001E-3</v>
      </c>
      <c r="J415" s="37">
        <v>0.27200000000000002</v>
      </c>
      <c r="K415" s="37">
        <v>2.2799999999999998</v>
      </c>
      <c r="L415" s="36">
        <v>0.02</v>
      </c>
    </row>
    <row r="416" spans="1:12">
      <c r="A416" s="255"/>
      <c r="B416" s="253"/>
      <c r="C416" s="32" t="s">
        <v>82</v>
      </c>
      <c r="D416" s="38" t="s">
        <v>83</v>
      </c>
      <c r="E416" s="39">
        <v>10</v>
      </c>
      <c r="F416" s="35">
        <v>8</v>
      </c>
      <c r="G416" s="35">
        <v>1.84</v>
      </c>
      <c r="H416" s="36">
        <v>7.2000000000000008E-2</v>
      </c>
      <c r="I416" s="36">
        <v>8.0000000000000002E-3</v>
      </c>
      <c r="J416" s="37">
        <v>0.32799999999999996</v>
      </c>
      <c r="K416" s="37">
        <v>0.72</v>
      </c>
      <c r="L416" s="36">
        <v>0.04</v>
      </c>
    </row>
    <row r="417" spans="1:12">
      <c r="A417" s="255"/>
      <c r="B417" s="253"/>
      <c r="C417" s="32" t="s">
        <v>116</v>
      </c>
      <c r="D417" s="38" t="s">
        <v>117</v>
      </c>
      <c r="E417" s="39">
        <v>10</v>
      </c>
      <c r="F417" s="35">
        <v>8.5</v>
      </c>
      <c r="G417" s="35">
        <v>2.9750000000000001</v>
      </c>
      <c r="H417" s="36">
        <v>8.5000000000000006E-2</v>
      </c>
      <c r="I417" s="36">
        <v>2.5499999999999998E-2</v>
      </c>
      <c r="J417" s="37">
        <v>0.53549999999999998</v>
      </c>
      <c r="K417" s="37">
        <v>0.59499999999999997</v>
      </c>
      <c r="L417" s="36">
        <v>3.4000000000000002E-2</v>
      </c>
    </row>
    <row r="418" spans="1:12">
      <c r="A418" s="255"/>
      <c r="B418" s="253"/>
      <c r="C418" s="32" t="s">
        <v>84</v>
      </c>
      <c r="D418" s="52" t="s">
        <v>85</v>
      </c>
      <c r="E418" s="34">
        <v>1</v>
      </c>
      <c r="F418" s="35">
        <v>0.95</v>
      </c>
      <c r="G418" s="35">
        <v>1.3679999999999999</v>
      </c>
      <c r="H418" s="36">
        <v>4.4649999999999995E-2</v>
      </c>
      <c r="I418" s="36">
        <v>2.8499999999999997E-3</v>
      </c>
      <c r="J418" s="37">
        <v>0.27834999999999999</v>
      </c>
      <c r="K418" s="37">
        <v>0.38</v>
      </c>
      <c r="L418" s="36">
        <v>1.2349999999999998E-2</v>
      </c>
    </row>
    <row r="419" spans="1:12" ht="12" customHeight="1">
      <c r="A419" s="255"/>
      <c r="B419" s="253"/>
      <c r="C419" s="32" t="s">
        <v>86</v>
      </c>
      <c r="D419" s="38" t="s">
        <v>87</v>
      </c>
      <c r="E419" s="40">
        <v>1</v>
      </c>
      <c r="F419" s="35">
        <v>1</v>
      </c>
      <c r="G419" s="35">
        <v>0</v>
      </c>
      <c r="H419" s="36">
        <v>0</v>
      </c>
      <c r="I419" s="36">
        <v>0</v>
      </c>
      <c r="J419" s="37">
        <v>0</v>
      </c>
      <c r="K419" s="37">
        <v>0.24</v>
      </c>
      <c r="L419" s="36">
        <v>3.0000000000000001E-3</v>
      </c>
    </row>
    <row r="420" spans="1:12" ht="17.25" customHeight="1">
      <c r="A420" s="256"/>
      <c r="B420" s="254"/>
      <c r="C420" s="32" t="s">
        <v>88</v>
      </c>
      <c r="D420" s="38" t="s">
        <v>89</v>
      </c>
      <c r="E420" s="39">
        <v>5</v>
      </c>
      <c r="F420" s="35">
        <v>5</v>
      </c>
      <c r="G420" s="35">
        <v>45</v>
      </c>
      <c r="H420" s="36">
        <v>0</v>
      </c>
      <c r="I420" s="36">
        <v>5</v>
      </c>
      <c r="J420" s="37">
        <v>0</v>
      </c>
      <c r="K420" s="37">
        <v>0</v>
      </c>
      <c r="L420" s="36">
        <v>0</v>
      </c>
    </row>
    <row r="421" spans="1:12" ht="15" customHeight="1">
      <c r="A421" s="231" t="s">
        <v>90</v>
      </c>
      <c r="B421" s="252" t="s">
        <v>228</v>
      </c>
      <c r="C421" s="32" t="s">
        <v>119</v>
      </c>
      <c r="D421" s="38" t="s">
        <v>120</v>
      </c>
      <c r="E421" s="39">
        <v>50</v>
      </c>
      <c r="F421" s="35">
        <v>50</v>
      </c>
      <c r="G421" s="35">
        <v>190</v>
      </c>
      <c r="H421" s="36">
        <v>4.55</v>
      </c>
      <c r="I421" s="36">
        <v>1.85</v>
      </c>
      <c r="J421" s="37">
        <v>36.950000000000003</v>
      </c>
      <c r="K421" s="37">
        <v>2</v>
      </c>
      <c r="L421" s="36">
        <v>1.35</v>
      </c>
    </row>
    <row r="422" spans="1:12">
      <c r="A422" s="255"/>
      <c r="B422" s="253"/>
      <c r="C422" s="32" t="s">
        <v>86</v>
      </c>
      <c r="D422" s="38" t="s">
        <v>87</v>
      </c>
      <c r="E422" s="40">
        <v>1</v>
      </c>
      <c r="F422" s="35">
        <v>1</v>
      </c>
      <c r="G422" s="35">
        <v>0</v>
      </c>
      <c r="H422" s="36">
        <v>0</v>
      </c>
      <c r="I422" s="36">
        <v>0</v>
      </c>
      <c r="J422" s="37">
        <v>0</v>
      </c>
      <c r="K422" s="37">
        <v>0.24</v>
      </c>
      <c r="L422" s="36">
        <v>3.0000000000000001E-3</v>
      </c>
    </row>
    <row r="423" spans="1:12">
      <c r="A423" s="256"/>
      <c r="B423" s="254"/>
      <c r="C423" s="32" t="s">
        <v>88</v>
      </c>
      <c r="D423" s="38" t="s">
        <v>89</v>
      </c>
      <c r="E423" s="40">
        <v>5</v>
      </c>
      <c r="F423" s="35">
        <v>5</v>
      </c>
      <c r="G423" s="35">
        <v>45</v>
      </c>
      <c r="H423" s="36">
        <v>0</v>
      </c>
      <c r="I423" s="36">
        <v>5</v>
      </c>
      <c r="J423" s="37">
        <v>0</v>
      </c>
      <c r="K423" s="37">
        <v>0</v>
      </c>
      <c r="L423" s="36">
        <v>0</v>
      </c>
    </row>
    <row r="424" spans="1:12" ht="25.5">
      <c r="A424" s="43" t="s">
        <v>94</v>
      </c>
      <c r="B424" s="92"/>
      <c r="C424" s="32"/>
      <c r="D424" s="78"/>
      <c r="E424" s="64"/>
      <c r="F424" s="35"/>
      <c r="G424" s="35"/>
      <c r="H424" s="36"/>
      <c r="I424" s="36"/>
      <c r="J424" s="37"/>
      <c r="K424" s="37"/>
      <c r="L424" s="36"/>
    </row>
    <row r="425" spans="1:12">
      <c r="A425" s="281"/>
      <c r="B425" s="281"/>
      <c r="C425" s="281"/>
      <c r="D425" s="281"/>
      <c r="E425" s="281"/>
      <c r="F425" s="281"/>
      <c r="G425" s="281"/>
      <c r="H425" s="281"/>
      <c r="I425" s="281"/>
      <c r="J425" s="281"/>
      <c r="K425" s="281"/>
      <c r="L425" s="282"/>
    </row>
    <row r="426" spans="1:12" ht="15.75">
      <c r="A426" s="277" t="s">
        <v>98</v>
      </c>
      <c r="B426" s="278"/>
      <c r="C426" s="278"/>
      <c r="D426" s="278"/>
      <c r="E426" s="278"/>
      <c r="F426" s="279"/>
      <c r="G426" s="45">
        <f>SUM(G410:G425)</f>
        <v>521.38300000000004</v>
      </c>
      <c r="H426" s="45">
        <f>SUM(H409:H425)</f>
        <v>23.61665</v>
      </c>
      <c r="I426" s="45">
        <f>SUM(I410:I425)</f>
        <v>17.12285</v>
      </c>
      <c r="J426" s="45">
        <f>SUM(J410:J425)</f>
        <v>64.962350000000001</v>
      </c>
      <c r="K426" s="45">
        <f>SUM(K409:K425)</f>
        <v>144.78500000000003</v>
      </c>
      <c r="L426" s="45">
        <f>SUM(L409:L425)</f>
        <v>3.7908500000000007</v>
      </c>
    </row>
    <row r="427" spans="1:12" ht="15.75">
      <c r="A427" s="277" t="s">
        <v>99</v>
      </c>
      <c r="B427" s="278"/>
      <c r="C427" s="278"/>
      <c r="D427" s="278"/>
      <c r="E427" s="278"/>
      <c r="F427" s="279"/>
      <c r="G427" s="46">
        <v>2245</v>
      </c>
      <c r="H427" s="46">
        <v>78.5</v>
      </c>
      <c r="I427" s="46">
        <v>74.8</v>
      </c>
      <c r="J427" s="46">
        <v>314.3</v>
      </c>
      <c r="K427" s="46">
        <v>1100</v>
      </c>
      <c r="L427" s="46">
        <v>8.6999999999999993</v>
      </c>
    </row>
    <row r="428" spans="1:12" ht="15.75">
      <c r="A428" s="277" t="s">
        <v>100</v>
      </c>
      <c r="B428" s="278"/>
      <c r="C428" s="278"/>
      <c r="D428" s="278"/>
      <c r="E428" s="278"/>
      <c r="F428" s="279"/>
      <c r="G428" s="47">
        <f t="shared" ref="G428:L428" si="36">G426/G427</f>
        <v>0.23224187082405348</v>
      </c>
      <c r="H428" s="47">
        <f t="shared" si="36"/>
        <v>0.30084904458598727</v>
      </c>
      <c r="I428" s="48">
        <f t="shared" si="36"/>
        <v>0.22891510695187167</v>
      </c>
      <c r="J428" s="47">
        <f t="shared" si="36"/>
        <v>0.20668899140948138</v>
      </c>
      <c r="K428" s="47">
        <f t="shared" si="36"/>
        <v>0.13162272727272731</v>
      </c>
      <c r="L428" s="47">
        <f t="shared" si="36"/>
        <v>0.4357298850574714</v>
      </c>
    </row>
    <row r="429" spans="1:12" ht="15.75">
      <c r="A429" s="82"/>
      <c r="B429" s="83"/>
      <c r="C429" s="83"/>
      <c r="D429" s="83"/>
      <c r="E429" s="83"/>
      <c r="F429" s="83"/>
      <c r="G429" s="84"/>
      <c r="H429" s="84"/>
      <c r="I429" s="84"/>
      <c r="J429" s="84"/>
      <c r="K429" s="84"/>
      <c r="L429" s="85"/>
    </row>
    <row r="430" spans="1:12">
      <c r="A430" s="322"/>
      <c r="B430" s="323"/>
      <c r="C430" s="323"/>
      <c r="D430" s="323"/>
      <c r="E430" s="323"/>
      <c r="F430" s="323"/>
      <c r="G430" s="323"/>
      <c r="H430" s="323"/>
      <c r="I430" s="323"/>
      <c r="J430" s="323"/>
      <c r="K430" s="323"/>
      <c r="L430" s="324"/>
    </row>
    <row r="431" spans="1:12" ht="15.75">
      <c r="A431" s="259" t="s">
        <v>101</v>
      </c>
      <c r="B431" s="260"/>
      <c r="C431" s="260"/>
      <c r="D431" s="260"/>
      <c r="E431" s="260"/>
      <c r="F431" s="261"/>
      <c r="G431" s="245" t="s">
        <v>102</v>
      </c>
      <c r="H431" s="246"/>
      <c r="I431" s="246"/>
      <c r="J431" s="246"/>
      <c r="K431" s="246"/>
      <c r="L431" s="247"/>
    </row>
    <row r="432" spans="1:12" ht="33.75" customHeight="1">
      <c r="A432" s="50" t="s">
        <v>103</v>
      </c>
      <c r="B432" s="292"/>
      <c r="C432" s="293"/>
      <c r="D432" s="293"/>
      <c r="E432" s="293"/>
      <c r="F432" s="294"/>
      <c r="G432" s="283" t="s">
        <v>104</v>
      </c>
      <c r="H432" s="283"/>
      <c r="I432" s="283"/>
      <c r="J432" s="292" t="str">
        <f t="shared" ref="J432" si="37">$J$30</f>
        <v>MND 1192925014</v>
      </c>
      <c r="K432" s="293"/>
      <c r="L432" s="294"/>
    </row>
    <row r="433" spans="1:12">
      <c r="A433" s="227" t="s">
        <v>229</v>
      </c>
      <c r="B433" s="228"/>
      <c r="C433" s="228"/>
      <c r="D433" s="228"/>
      <c r="E433" s="228"/>
      <c r="F433" s="228"/>
      <c r="G433" s="228"/>
      <c r="H433" s="228"/>
      <c r="I433" s="228"/>
      <c r="J433" s="228"/>
      <c r="K433" s="228"/>
      <c r="L433" s="229"/>
    </row>
    <row r="434" spans="1:12" ht="15" customHeight="1">
      <c r="A434" s="231" t="s">
        <v>55</v>
      </c>
      <c r="B434" s="233" t="s">
        <v>56</v>
      </c>
      <c r="C434" s="235" t="s">
        <v>57</v>
      </c>
      <c r="D434" s="233" t="s">
        <v>58</v>
      </c>
      <c r="E434" s="237" t="s">
        <v>59</v>
      </c>
      <c r="F434" s="237" t="s">
        <v>60</v>
      </c>
      <c r="G434" s="269" t="s">
        <v>61</v>
      </c>
      <c r="H434" s="270"/>
      <c r="I434" s="270"/>
      <c r="J434" s="270"/>
      <c r="K434" s="270"/>
      <c r="L434" s="271"/>
    </row>
    <row r="435" spans="1:12" ht="22.5">
      <c r="A435" s="255"/>
      <c r="B435" s="262"/>
      <c r="C435" s="263"/>
      <c r="D435" s="262"/>
      <c r="E435" s="264"/>
      <c r="F435" s="264"/>
      <c r="G435" s="51" t="s">
        <v>62</v>
      </c>
      <c r="H435" s="31" t="s">
        <v>63</v>
      </c>
      <c r="I435" s="31" t="s">
        <v>64</v>
      </c>
      <c r="J435" s="31" t="s">
        <v>65</v>
      </c>
      <c r="K435" s="31" t="s">
        <v>66</v>
      </c>
      <c r="L435" s="31" t="s">
        <v>67</v>
      </c>
    </row>
    <row r="436" spans="1:12" ht="15.75" customHeight="1">
      <c r="A436" s="231" t="s">
        <v>68</v>
      </c>
      <c r="B436" s="252" t="s">
        <v>151</v>
      </c>
      <c r="C436" s="60" t="s">
        <v>152</v>
      </c>
      <c r="D436" s="38" t="s">
        <v>153</v>
      </c>
      <c r="E436" s="39">
        <v>13</v>
      </c>
      <c r="F436" s="35">
        <v>13</v>
      </c>
      <c r="G436" s="35">
        <v>53.82</v>
      </c>
      <c r="H436" s="36">
        <v>1.911</v>
      </c>
      <c r="I436" s="36">
        <v>1.1179999999999999</v>
      </c>
      <c r="J436" s="37">
        <v>8.6059999999999999</v>
      </c>
      <c r="K436" s="37">
        <v>7.02</v>
      </c>
      <c r="L436" s="36">
        <v>0.52</v>
      </c>
    </row>
    <row r="437" spans="1:12" ht="20.25" customHeight="1">
      <c r="A437" s="256"/>
      <c r="B437" s="254"/>
      <c r="C437" s="60" t="s">
        <v>74</v>
      </c>
      <c r="D437" s="38" t="s">
        <v>75</v>
      </c>
      <c r="E437" s="39">
        <v>10</v>
      </c>
      <c r="F437" s="35">
        <v>10</v>
      </c>
      <c r="G437" s="35">
        <v>39.700000000000003</v>
      </c>
      <c r="H437" s="36">
        <v>0</v>
      </c>
      <c r="I437" s="36">
        <v>0</v>
      </c>
      <c r="J437" s="37">
        <v>9.93</v>
      </c>
      <c r="K437" s="37">
        <v>0</v>
      </c>
      <c r="L437" s="36">
        <v>0.01</v>
      </c>
    </row>
    <row r="438" spans="1:12" ht="17.25" customHeight="1">
      <c r="A438" s="231" t="s">
        <v>225</v>
      </c>
      <c r="B438" s="252" t="s">
        <v>230</v>
      </c>
      <c r="C438" s="60" t="s">
        <v>182</v>
      </c>
      <c r="D438" s="38" t="s">
        <v>183</v>
      </c>
      <c r="E438" s="39">
        <v>50</v>
      </c>
      <c r="F438" s="35">
        <v>50</v>
      </c>
      <c r="G438" s="35">
        <v>193</v>
      </c>
      <c r="H438" s="36">
        <v>11.4</v>
      </c>
      <c r="I438" s="36">
        <v>0.75</v>
      </c>
      <c r="J438" s="37">
        <v>30.2</v>
      </c>
      <c r="K438" s="37">
        <v>59.5</v>
      </c>
      <c r="L438" s="36">
        <v>2.65</v>
      </c>
    </row>
    <row r="439" spans="1:12" ht="18.75" customHeight="1">
      <c r="A439" s="255"/>
      <c r="B439" s="253"/>
      <c r="C439" s="60" t="s">
        <v>80</v>
      </c>
      <c r="D439" s="38" t="s">
        <v>81</v>
      </c>
      <c r="E439" s="39">
        <v>10</v>
      </c>
      <c r="F439" s="35">
        <v>9.5</v>
      </c>
      <c r="G439" s="35">
        <v>3.8</v>
      </c>
      <c r="H439" s="36">
        <v>0.13299999999999998</v>
      </c>
      <c r="I439" s="36">
        <v>9.5000000000000015E-3</v>
      </c>
      <c r="J439" s="37">
        <v>0.73150000000000004</v>
      </c>
      <c r="K439" s="37">
        <v>2.2799999999999998</v>
      </c>
      <c r="L439" s="36">
        <v>2.8500000000000001E-2</v>
      </c>
    </row>
    <row r="440" spans="1:12" ht="18.75" customHeight="1">
      <c r="A440" s="255"/>
      <c r="B440" s="253"/>
      <c r="C440" s="60" t="s">
        <v>114</v>
      </c>
      <c r="D440" s="38" t="s">
        <v>115</v>
      </c>
      <c r="E440" s="39">
        <v>10</v>
      </c>
      <c r="F440" s="35">
        <v>4</v>
      </c>
      <c r="G440" s="35">
        <v>1.48</v>
      </c>
      <c r="H440" s="36">
        <v>4.8000000000000001E-2</v>
      </c>
      <c r="I440" s="36">
        <v>4.0000000000000001E-3</v>
      </c>
      <c r="J440" s="37">
        <v>0.27200000000000002</v>
      </c>
      <c r="K440" s="37">
        <v>2.2799999999999998</v>
      </c>
      <c r="L440" s="36">
        <v>0.02</v>
      </c>
    </row>
    <row r="441" spans="1:12" ht="18.75" customHeight="1">
      <c r="A441" s="255"/>
      <c r="B441" s="253"/>
      <c r="C441" s="60" t="s">
        <v>142</v>
      </c>
      <c r="D441" s="38" t="s">
        <v>143</v>
      </c>
      <c r="E441" s="39">
        <v>10</v>
      </c>
      <c r="F441" s="35">
        <v>8.5</v>
      </c>
      <c r="G441" s="35">
        <v>3.9950000000000001</v>
      </c>
      <c r="H441" s="36">
        <v>5.949999999999999E-2</v>
      </c>
      <c r="I441" s="36">
        <v>8.5000000000000006E-3</v>
      </c>
      <c r="J441" s="37">
        <v>0.8075</v>
      </c>
      <c r="K441" s="37">
        <v>2.2949999999999999</v>
      </c>
      <c r="L441" s="36">
        <v>3.4000000000000002E-2</v>
      </c>
    </row>
    <row r="442" spans="1:12" ht="18.75" customHeight="1">
      <c r="A442" s="255"/>
      <c r="B442" s="253"/>
      <c r="C442" s="60" t="s">
        <v>116</v>
      </c>
      <c r="D442" s="38" t="s">
        <v>117</v>
      </c>
      <c r="E442" s="39">
        <v>10</v>
      </c>
      <c r="F442" s="35">
        <v>8.5</v>
      </c>
      <c r="G442" s="35">
        <v>2.9750000000000001</v>
      </c>
      <c r="H442" s="36">
        <v>8.5000000000000006E-2</v>
      </c>
      <c r="I442" s="36">
        <v>2.5499999999999998E-2</v>
      </c>
      <c r="J442" s="37">
        <v>0.53549999999999998</v>
      </c>
      <c r="K442" s="37">
        <v>0.59499999999999997</v>
      </c>
      <c r="L442" s="36">
        <v>3.4000000000000002E-2</v>
      </c>
    </row>
    <row r="443" spans="1:12" ht="18.75" customHeight="1">
      <c r="A443" s="255"/>
      <c r="B443" s="253"/>
      <c r="C443" s="60" t="s">
        <v>84</v>
      </c>
      <c r="D443" s="52" t="s">
        <v>85</v>
      </c>
      <c r="E443" s="34">
        <v>1</v>
      </c>
      <c r="F443" s="35">
        <v>0.95</v>
      </c>
      <c r="G443" s="35">
        <v>1.3679999999999999</v>
      </c>
      <c r="H443" s="36">
        <v>4.4649999999999995E-2</v>
      </c>
      <c r="I443" s="36">
        <v>2.8499999999999997E-3</v>
      </c>
      <c r="J443" s="37">
        <v>0.27834999999999999</v>
      </c>
      <c r="K443" s="37">
        <v>0.38</v>
      </c>
      <c r="L443" s="36">
        <v>1.2349999999999998E-2</v>
      </c>
    </row>
    <row r="444" spans="1:12" ht="18.75" customHeight="1">
      <c r="A444" s="255"/>
      <c r="B444" s="253"/>
      <c r="C444" s="60" t="s">
        <v>88</v>
      </c>
      <c r="D444" s="52" t="s">
        <v>89</v>
      </c>
      <c r="E444" s="34">
        <v>10</v>
      </c>
      <c r="F444" s="35">
        <v>10</v>
      </c>
      <c r="G444" s="35">
        <v>90</v>
      </c>
      <c r="H444" s="36">
        <v>0</v>
      </c>
      <c r="I444" s="36">
        <v>10</v>
      </c>
      <c r="J444" s="37">
        <v>0</v>
      </c>
      <c r="K444" s="37">
        <v>0</v>
      </c>
      <c r="L444" s="36">
        <v>0</v>
      </c>
    </row>
    <row r="445" spans="1:12" ht="18.75" customHeight="1">
      <c r="A445" s="256"/>
      <c r="B445" s="254"/>
      <c r="C445" s="60" t="s">
        <v>86</v>
      </c>
      <c r="D445" s="38" t="s">
        <v>87</v>
      </c>
      <c r="E445" s="40">
        <v>1</v>
      </c>
      <c r="F445" s="35">
        <v>1</v>
      </c>
      <c r="G445" s="35">
        <v>0</v>
      </c>
      <c r="H445" s="36">
        <v>0</v>
      </c>
      <c r="I445" s="36">
        <v>0</v>
      </c>
      <c r="J445" s="37">
        <v>0</v>
      </c>
      <c r="K445" s="37">
        <v>0.24</v>
      </c>
      <c r="L445" s="36">
        <v>3.0000000000000001E-3</v>
      </c>
    </row>
    <row r="446" spans="1:12" ht="18.75" customHeight="1">
      <c r="A446" s="231" t="s">
        <v>90</v>
      </c>
      <c r="B446" s="252" t="s">
        <v>211</v>
      </c>
      <c r="C446" s="60" t="s">
        <v>145</v>
      </c>
      <c r="D446" s="38" t="s">
        <v>146</v>
      </c>
      <c r="E446" s="39">
        <v>50</v>
      </c>
      <c r="F446" s="35">
        <v>50</v>
      </c>
      <c r="G446" s="35">
        <v>176.5</v>
      </c>
      <c r="H446" s="36">
        <v>3.35</v>
      </c>
      <c r="I446" s="36">
        <v>0.2</v>
      </c>
      <c r="J446" s="37">
        <v>40.049999999999997</v>
      </c>
      <c r="K446" s="37">
        <v>4.5</v>
      </c>
      <c r="L446" s="36">
        <v>0.4</v>
      </c>
    </row>
    <row r="447" spans="1:12" ht="18.75" customHeight="1">
      <c r="A447" s="255"/>
      <c r="B447" s="253"/>
      <c r="C447" s="60" t="s">
        <v>114</v>
      </c>
      <c r="D447" s="38" t="s">
        <v>115</v>
      </c>
      <c r="E447" s="39">
        <v>10</v>
      </c>
      <c r="F447" s="35">
        <v>4</v>
      </c>
      <c r="G447" s="35">
        <v>1.48</v>
      </c>
      <c r="H447" s="36">
        <v>4.8000000000000001E-2</v>
      </c>
      <c r="I447" s="36">
        <v>4.0000000000000001E-3</v>
      </c>
      <c r="J447" s="37">
        <v>0.27200000000000002</v>
      </c>
      <c r="K447" s="37">
        <v>2.2799999999999998</v>
      </c>
      <c r="L447" s="36">
        <v>0.02</v>
      </c>
    </row>
    <row r="448" spans="1:12" ht="18.75" customHeight="1">
      <c r="A448" s="255"/>
      <c r="B448" s="253"/>
      <c r="C448" s="60" t="s">
        <v>86</v>
      </c>
      <c r="D448" s="38" t="s">
        <v>87</v>
      </c>
      <c r="E448" s="40">
        <v>1</v>
      </c>
      <c r="F448" s="35">
        <v>1</v>
      </c>
      <c r="G448" s="35">
        <v>0</v>
      </c>
      <c r="H448" s="36">
        <v>0</v>
      </c>
      <c r="I448" s="36">
        <v>0</v>
      </c>
      <c r="J448" s="37">
        <v>0</v>
      </c>
      <c r="K448" s="37">
        <v>0.24</v>
      </c>
      <c r="L448" s="36">
        <v>3.0000000000000001E-3</v>
      </c>
    </row>
    <row r="449" spans="1:12" ht="18.75" customHeight="1">
      <c r="A449" s="256"/>
      <c r="B449" s="254"/>
      <c r="C449" s="60" t="s">
        <v>88</v>
      </c>
      <c r="D449" s="38" t="s">
        <v>89</v>
      </c>
      <c r="E449" s="39">
        <v>5</v>
      </c>
      <c r="F449" s="35">
        <v>5</v>
      </c>
      <c r="G449" s="35">
        <v>45</v>
      </c>
      <c r="H449" s="36">
        <v>0</v>
      </c>
      <c r="I449" s="36">
        <v>5</v>
      </c>
      <c r="J449" s="37">
        <v>0</v>
      </c>
      <c r="K449" s="37">
        <v>0</v>
      </c>
      <c r="L449" s="36">
        <v>0</v>
      </c>
    </row>
    <row r="450" spans="1:12" ht="30.75" customHeight="1">
      <c r="A450" s="43" t="s">
        <v>94</v>
      </c>
      <c r="B450" s="42"/>
      <c r="C450" s="60"/>
      <c r="D450" s="93"/>
      <c r="E450" s="94"/>
      <c r="F450" s="35"/>
      <c r="G450" s="35"/>
      <c r="H450" s="36"/>
      <c r="I450" s="36"/>
      <c r="J450" s="37"/>
      <c r="K450" s="37"/>
      <c r="L450" s="36"/>
    </row>
    <row r="451" spans="1:12">
      <c r="A451" s="281"/>
      <c r="B451" s="281"/>
      <c r="C451" s="281"/>
      <c r="D451" s="281"/>
      <c r="E451" s="281"/>
      <c r="F451" s="281"/>
      <c r="G451" s="281"/>
      <c r="H451" s="281"/>
      <c r="I451" s="281"/>
      <c r="J451" s="281"/>
      <c r="K451" s="281"/>
      <c r="L451" s="282"/>
    </row>
    <row r="452" spans="1:12" ht="15.75">
      <c r="A452" s="277" t="s">
        <v>98</v>
      </c>
      <c r="B452" s="278"/>
      <c r="C452" s="278"/>
      <c r="D452" s="278"/>
      <c r="E452" s="278"/>
      <c r="F452" s="279"/>
      <c r="G452" s="45">
        <f>SUM(G436:G451)</f>
        <v>613.11800000000005</v>
      </c>
      <c r="H452" s="45">
        <f>SUM(H435:H451)</f>
        <v>17.079149999999998</v>
      </c>
      <c r="I452" s="45">
        <f>SUM(I436:I451)</f>
        <v>17.122349999999997</v>
      </c>
      <c r="J452" s="45">
        <f>SUM(J436:J451)</f>
        <v>91.682850000000002</v>
      </c>
      <c r="K452" s="45">
        <f>SUM(K435:K451)</f>
        <v>81.609999999999985</v>
      </c>
      <c r="L452" s="45">
        <f>SUM(L435:L451)</f>
        <v>3.7348499999999998</v>
      </c>
    </row>
    <row r="453" spans="1:12" ht="15.75">
      <c r="A453" s="277" t="s">
        <v>99</v>
      </c>
      <c r="B453" s="278"/>
      <c r="C453" s="278"/>
      <c r="D453" s="278"/>
      <c r="E453" s="278"/>
      <c r="F453" s="279"/>
      <c r="G453" s="46">
        <v>2245</v>
      </c>
      <c r="H453" s="46">
        <v>78.5</v>
      </c>
      <c r="I453" s="46">
        <v>74.8</v>
      </c>
      <c r="J453" s="46">
        <v>314.3</v>
      </c>
      <c r="K453" s="46">
        <v>1100</v>
      </c>
      <c r="L453" s="46">
        <v>8.6999999999999993</v>
      </c>
    </row>
    <row r="454" spans="1:12" ht="15.75">
      <c r="A454" s="277" t="s">
        <v>100</v>
      </c>
      <c r="B454" s="278"/>
      <c r="C454" s="278"/>
      <c r="D454" s="278"/>
      <c r="E454" s="278"/>
      <c r="F454" s="279"/>
      <c r="G454" s="47">
        <f t="shared" ref="G454:L454" si="38">G452/G453</f>
        <v>0.27310378619153675</v>
      </c>
      <c r="H454" s="47">
        <f t="shared" si="38"/>
        <v>0.21756878980891717</v>
      </c>
      <c r="I454" s="48">
        <f t="shared" si="38"/>
        <v>0.22890842245989301</v>
      </c>
      <c r="J454" s="47">
        <f t="shared" si="38"/>
        <v>0.29170489977728287</v>
      </c>
      <c r="K454" s="47">
        <f t="shared" si="38"/>
        <v>7.4190909090909071E-2</v>
      </c>
      <c r="L454" s="47">
        <f t="shared" si="38"/>
        <v>0.42929310344827587</v>
      </c>
    </row>
    <row r="455" spans="1:12">
      <c r="A455" s="322"/>
      <c r="B455" s="323"/>
      <c r="C455" s="323"/>
      <c r="D455" s="323"/>
      <c r="E455" s="323"/>
      <c r="F455" s="323"/>
      <c r="G455" s="323"/>
      <c r="H455" s="323"/>
      <c r="I455" s="323"/>
      <c r="J455" s="323"/>
      <c r="K455" s="323"/>
      <c r="L455" s="324"/>
    </row>
    <row r="456" spans="1:12" ht="15.75">
      <c r="A456" s="259" t="s">
        <v>101</v>
      </c>
      <c r="B456" s="260"/>
      <c r="C456" s="260"/>
      <c r="D456" s="260"/>
      <c r="E456" s="260"/>
      <c r="F456" s="261"/>
      <c r="G456" s="245" t="s">
        <v>102</v>
      </c>
      <c r="H456" s="246"/>
      <c r="I456" s="246"/>
      <c r="J456" s="246"/>
      <c r="K456" s="246"/>
      <c r="L456" s="247"/>
    </row>
    <row r="457" spans="1:12" ht="38.25" customHeight="1">
      <c r="A457" s="50" t="s">
        <v>103</v>
      </c>
      <c r="B457" s="257"/>
      <c r="C457" s="257"/>
      <c r="D457" s="257"/>
      <c r="E457" s="257"/>
      <c r="F457" s="257"/>
      <c r="G457" s="283" t="s">
        <v>104</v>
      </c>
      <c r="H457" s="283"/>
      <c r="I457" s="283"/>
      <c r="J457" s="292" t="str">
        <f t="shared" ref="J457" si="39">$J$30</f>
        <v>MND 1192925014</v>
      </c>
      <c r="K457" s="293"/>
      <c r="L457" s="294"/>
    </row>
    <row r="458" spans="1:12">
      <c r="A458" s="227" t="s">
        <v>231</v>
      </c>
      <c r="B458" s="228"/>
      <c r="C458" s="228"/>
      <c r="D458" s="228"/>
      <c r="E458" s="228"/>
      <c r="F458" s="228"/>
      <c r="G458" s="228"/>
      <c r="H458" s="228"/>
      <c r="I458" s="228"/>
      <c r="J458" s="228"/>
      <c r="K458" s="228"/>
      <c r="L458" s="229"/>
    </row>
    <row r="459" spans="1:12" ht="15" customHeight="1">
      <c r="A459" s="231" t="s">
        <v>55</v>
      </c>
      <c r="B459" s="233" t="s">
        <v>56</v>
      </c>
      <c r="C459" s="235" t="s">
        <v>57</v>
      </c>
      <c r="D459" s="233" t="s">
        <v>58</v>
      </c>
      <c r="E459" s="237" t="s">
        <v>59</v>
      </c>
      <c r="F459" s="237" t="s">
        <v>60</v>
      </c>
      <c r="G459" s="269" t="s">
        <v>61</v>
      </c>
      <c r="H459" s="270"/>
      <c r="I459" s="270"/>
      <c r="J459" s="270"/>
      <c r="K459" s="270"/>
      <c r="L459" s="271"/>
    </row>
    <row r="460" spans="1:12" ht="22.5">
      <c r="A460" s="255"/>
      <c r="B460" s="262"/>
      <c r="C460" s="263"/>
      <c r="D460" s="262"/>
      <c r="E460" s="264"/>
      <c r="F460" s="264"/>
      <c r="G460" s="51" t="s">
        <v>62</v>
      </c>
      <c r="H460" s="31" t="s">
        <v>63</v>
      </c>
      <c r="I460" s="31" t="s">
        <v>64</v>
      </c>
      <c r="J460" s="31" t="s">
        <v>65</v>
      </c>
      <c r="K460" s="31" t="s">
        <v>66</v>
      </c>
      <c r="L460" s="31" t="s">
        <v>67</v>
      </c>
    </row>
    <row r="461" spans="1:12">
      <c r="A461" s="235" t="s">
        <v>68</v>
      </c>
      <c r="B461" s="267" t="s">
        <v>232</v>
      </c>
      <c r="C461" s="60" t="s">
        <v>70</v>
      </c>
      <c r="D461" s="38" t="s">
        <v>71</v>
      </c>
      <c r="E461" s="39">
        <v>13</v>
      </c>
      <c r="F461" s="35">
        <v>13</v>
      </c>
      <c r="G461" s="35">
        <v>64.87</v>
      </c>
      <c r="H461" s="36">
        <v>3.4190000000000005</v>
      </c>
      <c r="I461" s="36">
        <v>3.4580000000000002</v>
      </c>
      <c r="J461" s="37">
        <v>4.992</v>
      </c>
      <c r="K461" s="37">
        <v>122.2</v>
      </c>
      <c r="L461" s="36">
        <v>6.5000000000000002E-2</v>
      </c>
    </row>
    <row r="462" spans="1:12" ht="21" customHeight="1">
      <c r="A462" s="263"/>
      <c r="B462" s="273"/>
      <c r="C462" s="60" t="s">
        <v>179</v>
      </c>
      <c r="D462" s="38" t="s">
        <v>180</v>
      </c>
      <c r="E462" s="39">
        <v>15</v>
      </c>
      <c r="F462" s="35">
        <v>15</v>
      </c>
      <c r="G462" s="35">
        <v>54.45</v>
      </c>
      <c r="H462" s="36">
        <v>1.41</v>
      </c>
      <c r="I462" s="36">
        <v>0.56999999999999995</v>
      </c>
      <c r="J462" s="37">
        <v>10.83</v>
      </c>
      <c r="K462" s="37">
        <v>0.6</v>
      </c>
      <c r="L462" s="36">
        <v>0.36</v>
      </c>
    </row>
    <row r="463" spans="1:12">
      <c r="A463" s="305"/>
      <c r="B463" s="268"/>
      <c r="C463" s="60" t="s">
        <v>74</v>
      </c>
      <c r="D463" s="38" t="s">
        <v>75</v>
      </c>
      <c r="E463" s="39">
        <v>10</v>
      </c>
      <c r="F463" s="35">
        <v>10</v>
      </c>
      <c r="G463" s="35">
        <v>39.700000000000003</v>
      </c>
      <c r="H463" s="36">
        <v>0</v>
      </c>
      <c r="I463" s="36">
        <v>0</v>
      </c>
      <c r="J463" s="37">
        <v>9.93</v>
      </c>
      <c r="K463" s="37">
        <v>0</v>
      </c>
      <c r="L463" s="36">
        <v>0.01</v>
      </c>
    </row>
    <row r="464" spans="1:12" ht="18.75" customHeight="1">
      <c r="A464" s="235" t="s">
        <v>225</v>
      </c>
      <c r="B464" s="267" t="s">
        <v>175</v>
      </c>
      <c r="C464" s="60" t="s">
        <v>126</v>
      </c>
      <c r="D464" s="38" t="s">
        <v>127</v>
      </c>
      <c r="E464" s="39">
        <v>50</v>
      </c>
      <c r="F464" s="35">
        <v>50</v>
      </c>
      <c r="G464" s="35">
        <v>61</v>
      </c>
      <c r="H464" s="36">
        <v>10.25</v>
      </c>
      <c r="I464" s="36">
        <v>2.25</v>
      </c>
      <c r="J464" s="37">
        <v>0</v>
      </c>
      <c r="K464" s="37">
        <v>17</v>
      </c>
      <c r="L464" s="36">
        <v>0.4</v>
      </c>
    </row>
    <row r="465" spans="1:12" ht="18" customHeight="1">
      <c r="A465" s="263"/>
      <c r="B465" s="273"/>
      <c r="C465" s="60" t="s">
        <v>80</v>
      </c>
      <c r="D465" s="38" t="s">
        <v>81</v>
      </c>
      <c r="E465" s="39">
        <v>10</v>
      </c>
      <c r="F465" s="35">
        <v>9.5</v>
      </c>
      <c r="G465" s="35">
        <v>3.8</v>
      </c>
      <c r="H465" s="36">
        <v>0.13299999999999998</v>
      </c>
      <c r="I465" s="36">
        <v>9.5000000000000015E-3</v>
      </c>
      <c r="J465" s="37">
        <v>0.73150000000000004</v>
      </c>
      <c r="K465" s="37">
        <v>2.2799999999999998</v>
      </c>
      <c r="L465" s="36">
        <v>2.8500000000000001E-2</v>
      </c>
    </row>
    <row r="466" spans="1:12" ht="18" customHeight="1">
      <c r="A466" s="263"/>
      <c r="B466" s="273"/>
      <c r="C466" s="60" t="s">
        <v>114</v>
      </c>
      <c r="D466" s="38" t="s">
        <v>115</v>
      </c>
      <c r="E466" s="39">
        <v>10</v>
      </c>
      <c r="F466" s="35">
        <v>4</v>
      </c>
      <c r="G466" s="35">
        <v>1.48</v>
      </c>
      <c r="H466" s="36">
        <v>4.8000000000000001E-2</v>
      </c>
      <c r="I466" s="36">
        <v>4.0000000000000001E-3</v>
      </c>
      <c r="J466" s="37">
        <v>0.27200000000000002</v>
      </c>
      <c r="K466" s="37">
        <v>2.2799999999999998</v>
      </c>
      <c r="L466" s="36">
        <v>0.02</v>
      </c>
    </row>
    <row r="467" spans="1:12">
      <c r="A467" s="263"/>
      <c r="B467" s="273"/>
      <c r="C467" s="60" t="s">
        <v>116</v>
      </c>
      <c r="D467" s="38" t="s">
        <v>117</v>
      </c>
      <c r="E467" s="39">
        <v>10</v>
      </c>
      <c r="F467" s="35">
        <v>8.5</v>
      </c>
      <c r="G467" s="35">
        <v>2.9750000000000001</v>
      </c>
      <c r="H467" s="36">
        <v>8.5000000000000006E-2</v>
      </c>
      <c r="I467" s="36">
        <v>2.5499999999999998E-2</v>
      </c>
      <c r="J467" s="37">
        <v>0.53549999999999998</v>
      </c>
      <c r="K467" s="37">
        <v>0.59499999999999997</v>
      </c>
      <c r="L467" s="36">
        <v>3.4000000000000002E-2</v>
      </c>
    </row>
    <row r="468" spans="1:12">
      <c r="A468" s="263"/>
      <c r="B468" s="273"/>
      <c r="C468" s="60" t="s">
        <v>84</v>
      </c>
      <c r="D468" s="52" t="s">
        <v>85</v>
      </c>
      <c r="E468" s="34">
        <v>1</v>
      </c>
      <c r="F468" s="35">
        <v>0.95</v>
      </c>
      <c r="G468" s="35">
        <v>1.3679999999999999</v>
      </c>
      <c r="H468" s="36">
        <v>4.4649999999999995E-2</v>
      </c>
      <c r="I468" s="36">
        <v>2.8499999999999997E-3</v>
      </c>
      <c r="J468" s="37">
        <v>0.27834999999999999</v>
      </c>
      <c r="K468" s="37">
        <v>0.38</v>
      </c>
      <c r="L468" s="36">
        <v>1.2349999999999998E-2</v>
      </c>
    </row>
    <row r="469" spans="1:12">
      <c r="A469" s="263"/>
      <c r="B469" s="273"/>
      <c r="C469" s="60" t="s">
        <v>86</v>
      </c>
      <c r="D469" s="38" t="s">
        <v>87</v>
      </c>
      <c r="E469" s="40">
        <v>1</v>
      </c>
      <c r="F469" s="35">
        <v>1</v>
      </c>
      <c r="G469" s="35">
        <v>0</v>
      </c>
      <c r="H469" s="36">
        <v>0</v>
      </c>
      <c r="I469" s="36">
        <v>0</v>
      </c>
      <c r="J469" s="37">
        <v>0</v>
      </c>
      <c r="K469" s="37">
        <v>0.24</v>
      </c>
      <c r="L469" s="36">
        <v>3.0000000000000001E-3</v>
      </c>
    </row>
    <row r="470" spans="1:12">
      <c r="A470" s="263"/>
      <c r="B470" s="273"/>
      <c r="C470" s="60" t="s">
        <v>128</v>
      </c>
      <c r="D470" s="38" t="s">
        <v>129</v>
      </c>
      <c r="E470" s="40">
        <v>1</v>
      </c>
      <c r="F470" s="35">
        <v>1</v>
      </c>
      <c r="G470" s="35">
        <v>3.92</v>
      </c>
      <c r="H470" s="36">
        <v>4.4000000000000004E-2</v>
      </c>
      <c r="I470" s="36">
        <v>5.2999999999999999E-2</v>
      </c>
      <c r="J470" s="37">
        <v>0.81799999999999995</v>
      </c>
      <c r="K470" s="37">
        <v>0.11</v>
      </c>
      <c r="L470" s="36">
        <v>1.3999999999999999E-2</v>
      </c>
    </row>
    <row r="471" spans="1:12">
      <c r="A471" s="305"/>
      <c r="B471" s="268"/>
      <c r="C471" s="60" t="s">
        <v>88</v>
      </c>
      <c r="D471" s="38" t="s">
        <v>89</v>
      </c>
      <c r="E471" s="39">
        <v>10</v>
      </c>
      <c r="F471" s="35">
        <v>10</v>
      </c>
      <c r="G471" s="35">
        <v>90</v>
      </c>
      <c r="H471" s="36">
        <v>0</v>
      </c>
      <c r="I471" s="36">
        <v>10</v>
      </c>
      <c r="J471" s="37">
        <v>0</v>
      </c>
      <c r="K471" s="37">
        <v>0</v>
      </c>
      <c r="L471" s="36">
        <v>0</v>
      </c>
    </row>
    <row r="472" spans="1:12" ht="15" customHeight="1">
      <c r="A472" s="235" t="s">
        <v>90</v>
      </c>
      <c r="B472" s="267" t="s">
        <v>233</v>
      </c>
      <c r="C472" s="60" t="s">
        <v>119</v>
      </c>
      <c r="D472" s="38" t="s">
        <v>120</v>
      </c>
      <c r="E472" s="39">
        <v>50</v>
      </c>
      <c r="F472" s="35">
        <v>50</v>
      </c>
      <c r="G472" s="35">
        <v>190</v>
      </c>
      <c r="H472" s="36">
        <v>4.55</v>
      </c>
      <c r="I472" s="36">
        <v>1.85</v>
      </c>
      <c r="J472" s="37">
        <v>36.950000000000003</v>
      </c>
      <c r="K472" s="37">
        <v>2</v>
      </c>
      <c r="L472" s="36">
        <v>1.35</v>
      </c>
    </row>
    <row r="473" spans="1:12">
      <c r="A473" s="305"/>
      <c r="B473" s="268"/>
      <c r="C473" s="60" t="s">
        <v>86</v>
      </c>
      <c r="D473" s="38" t="s">
        <v>87</v>
      </c>
      <c r="E473" s="40">
        <v>1</v>
      </c>
      <c r="F473" s="35">
        <v>1</v>
      </c>
      <c r="G473" s="35">
        <v>0</v>
      </c>
      <c r="H473" s="36">
        <v>0</v>
      </c>
      <c r="I473" s="36">
        <v>0</v>
      </c>
      <c r="J473" s="37">
        <v>0</v>
      </c>
      <c r="K473" s="37">
        <v>0.24</v>
      </c>
      <c r="L473" s="36">
        <v>3.0000000000000001E-3</v>
      </c>
    </row>
    <row r="474" spans="1:12" ht="25.5">
      <c r="A474" s="43" t="s">
        <v>94</v>
      </c>
      <c r="B474" s="53" t="s">
        <v>188</v>
      </c>
      <c r="C474" s="60" t="s">
        <v>161</v>
      </c>
      <c r="D474" s="38" t="s">
        <v>162</v>
      </c>
      <c r="E474" s="40">
        <v>27</v>
      </c>
      <c r="F474" s="35">
        <v>27</v>
      </c>
      <c r="G474" s="35">
        <v>125.55</v>
      </c>
      <c r="H474" s="36">
        <v>2.2680000000000002</v>
      </c>
      <c r="I474" s="36">
        <v>4.6440000000000001</v>
      </c>
      <c r="J474" s="37">
        <v>18.414000000000001</v>
      </c>
      <c r="K474" s="37">
        <v>28.89</v>
      </c>
      <c r="L474" s="36">
        <v>0.67500000000000004</v>
      </c>
    </row>
    <row r="475" spans="1:12">
      <c r="A475" s="281"/>
      <c r="B475" s="281"/>
      <c r="C475" s="281"/>
      <c r="D475" s="281"/>
      <c r="E475" s="281"/>
      <c r="F475" s="281"/>
      <c r="G475" s="281"/>
      <c r="H475" s="281"/>
      <c r="I475" s="281"/>
      <c r="J475" s="281"/>
      <c r="K475" s="281"/>
      <c r="L475" s="282"/>
    </row>
    <row r="476" spans="1:12" ht="15.75">
      <c r="A476" s="277" t="s">
        <v>98</v>
      </c>
      <c r="B476" s="278"/>
      <c r="C476" s="278"/>
      <c r="D476" s="278"/>
      <c r="E476" s="278"/>
      <c r="F476" s="279"/>
      <c r="G476" s="45">
        <f>SUM(G459:G475)</f>
        <v>639.11299999999994</v>
      </c>
      <c r="H476" s="45">
        <f>SUM(H458:H475)</f>
        <v>22.251650000000001</v>
      </c>
      <c r="I476" s="45">
        <f>SUM(I459:I475)</f>
        <v>22.866849999999999</v>
      </c>
      <c r="J476" s="45">
        <f>SUM(J459:J475)</f>
        <v>83.751350000000002</v>
      </c>
      <c r="K476" s="45">
        <f>SUM(K458:K475)</f>
        <v>176.81500000000005</v>
      </c>
      <c r="L476" s="45">
        <f>SUM(L458:L475)</f>
        <v>2.97485</v>
      </c>
    </row>
    <row r="477" spans="1:12" ht="15.75">
      <c r="A477" s="277" t="s">
        <v>99</v>
      </c>
      <c r="B477" s="278"/>
      <c r="C477" s="278"/>
      <c r="D477" s="278"/>
      <c r="E477" s="278"/>
      <c r="F477" s="279"/>
      <c r="G477" s="46">
        <v>2245</v>
      </c>
      <c r="H477" s="46">
        <v>78.5</v>
      </c>
      <c r="I477" s="46">
        <v>74.8</v>
      </c>
      <c r="J477" s="46">
        <v>314.3</v>
      </c>
      <c r="K477" s="46">
        <v>1100</v>
      </c>
      <c r="L477" s="46">
        <v>8.6999999999999993</v>
      </c>
    </row>
    <row r="478" spans="1:12" ht="15.75">
      <c r="A478" s="277" t="s">
        <v>100</v>
      </c>
      <c r="B478" s="278"/>
      <c r="C478" s="278"/>
      <c r="D478" s="278"/>
      <c r="E478" s="278"/>
      <c r="F478" s="279"/>
      <c r="G478" s="47">
        <f t="shared" ref="G478:L478" si="40">G476/G477</f>
        <v>0.28468285077951</v>
      </c>
      <c r="H478" s="47">
        <f t="shared" si="40"/>
        <v>0.28346050955414015</v>
      </c>
      <c r="I478" s="48">
        <f t="shared" si="40"/>
        <v>0.30570655080213904</v>
      </c>
      <c r="J478" s="47">
        <f t="shared" si="40"/>
        <v>0.26646945593382121</v>
      </c>
      <c r="K478" s="47">
        <f t="shared" si="40"/>
        <v>0.16074090909090913</v>
      </c>
      <c r="L478" s="47">
        <f t="shared" si="40"/>
        <v>0.34193678160919544</v>
      </c>
    </row>
    <row r="479" spans="1:12" ht="15.75">
      <c r="A479" s="82"/>
      <c r="B479" s="83"/>
      <c r="C479" s="83"/>
      <c r="D479" s="83"/>
      <c r="E479" s="83"/>
      <c r="F479" s="83"/>
      <c r="G479" s="84"/>
      <c r="H479" s="84"/>
      <c r="I479" s="84"/>
      <c r="J479" s="84"/>
      <c r="K479" s="84"/>
      <c r="L479" s="85"/>
    </row>
    <row r="480" spans="1:12">
      <c r="A480" s="322"/>
      <c r="B480" s="323"/>
      <c r="C480" s="323"/>
      <c r="D480" s="323"/>
      <c r="E480" s="323"/>
      <c r="F480" s="323"/>
      <c r="G480" s="323"/>
      <c r="H480" s="323"/>
      <c r="I480" s="323"/>
      <c r="J480" s="323"/>
      <c r="K480" s="323"/>
      <c r="L480" s="324"/>
    </row>
    <row r="481" spans="1:12" ht="15.75">
      <c r="A481" s="259" t="s">
        <v>101</v>
      </c>
      <c r="B481" s="260"/>
      <c r="C481" s="260"/>
      <c r="D481" s="260"/>
      <c r="E481" s="260"/>
      <c r="F481" s="261"/>
      <c r="G481" s="245" t="s">
        <v>102</v>
      </c>
      <c r="H481" s="246"/>
      <c r="I481" s="246"/>
      <c r="J481" s="246"/>
      <c r="K481" s="246"/>
      <c r="L481" s="247"/>
    </row>
    <row r="482" spans="1:12" ht="31.5" customHeight="1">
      <c r="A482" s="50" t="s">
        <v>103</v>
      </c>
      <c r="B482" s="257"/>
      <c r="C482" s="257"/>
      <c r="D482" s="257"/>
      <c r="E482" s="257"/>
      <c r="F482" s="257"/>
      <c r="G482" s="283" t="s">
        <v>104</v>
      </c>
      <c r="H482" s="283"/>
      <c r="I482" s="283"/>
      <c r="J482" s="292" t="str">
        <f t="shared" ref="J482" si="41">$J$30</f>
        <v>MND 1192925014</v>
      </c>
      <c r="K482" s="293"/>
      <c r="L482" s="294"/>
    </row>
    <row r="483" spans="1:12" ht="15.75">
      <c r="A483" s="325"/>
      <c r="B483" s="326"/>
      <c r="C483" s="326"/>
      <c r="D483" s="326"/>
      <c r="E483" s="326"/>
      <c r="F483" s="326"/>
      <c r="G483" s="326"/>
      <c r="H483" s="326"/>
      <c r="I483" s="326"/>
      <c r="J483" s="326"/>
      <c r="K483" s="326"/>
      <c r="L483" s="327"/>
    </row>
    <row r="484" spans="1:12" ht="15.75">
      <c r="A484" s="325"/>
      <c r="B484" s="326"/>
      <c r="C484" s="326"/>
      <c r="D484" s="326"/>
      <c r="E484" s="326"/>
      <c r="F484" s="326"/>
      <c r="G484" s="326"/>
      <c r="H484" s="326"/>
      <c r="I484" s="326"/>
      <c r="J484" s="326"/>
      <c r="K484" s="326"/>
      <c r="L484" s="327"/>
    </row>
    <row r="485" spans="1:12">
      <c r="A485" s="227" t="s">
        <v>234</v>
      </c>
      <c r="B485" s="228"/>
      <c r="C485" s="228"/>
      <c r="D485" s="228"/>
      <c r="E485" s="228"/>
      <c r="F485" s="228"/>
      <c r="G485" s="228"/>
      <c r="H485" s="228"/>
      <c r="I485" s="228"/>
      <c r="J485" s="228"/>
      <c r="K485" s="228"/>
      <c r="L485" s="229"/>
    </row>
    <row r="486" spans="1:12" ht="15" customHeight="1">
      <c r="A486" s="231" t="s">
        <v>55</v>
      </c>
      <c r="B486" s="233" t="s">
        <v>56</v>
      </c>
      <c r="C486" s="235" t="s">
        <v>57</v>
      </c>
      <c r="D486" s="233" t="s">
        <v>58</v>
      </c>
      <c r="E486" s="237" t="s">
        <v>59</v>
      </c>
      <c r="F486" s="237" t="s">
        <v>60</v>
      </c>
      <c r="G486" s="269" t="s">
        <v>61</v>
      </c>
      <c r="H486" s="270"/>
      <c r="I486" s="270"/>
      <c r="J486" s="270"/>
      <c r="K486" s="270"/>
      <c r="L486" s="271"/>
    </row>
    <row r="487" spans="1:12" ht="22.5">
      <c r="A487" s="255"/>
      <c r="B487" s="262"/>
      <c r="C487" s="263"/>
      <c r="D487" s="262"/>
      <c r="E487" s="264"/>
      <c r="F487" s="264"/>
      <c r="G487" s="51" t="s">
        <v>62</v>
      </c>
      <c r="H487" s="31" t="s">
        <v>63</v>
      </c>
      <c r="I487" s="31" t="s">
        <v>64</v>
      </c>
      <c r="J487" s="31" t="s">
        <v>65</v>
      </c>
      <c r="K487" s="31" t="s">
        <v>66</v>
      </c>
      <c r="L487" s="31" t="s">
        <v>67</v>
      </c>
    </row>
    <row r="488" spans="1:12" ht="15" customHeight="1">
      <c r="A488" s="235" t="s">
        <v>68</v>
      </c>
      <c r="B488" s="267" t="s">
        <v>134</v>
      </c>
      <c r="C488" s="60" t="s">
        <v>135</v>
      </c>
      <c r="D488" s="95" t="s">
        <v>136</v>
      </c>
      <c r="E488" s="39">
        <v>50</v>
      </c>
      <c r="F488" s="35">
        <v>25</v>
      </c>
      <c r="G488" s="35">
        <v>11</v>
      </c>
      <c r="H488" s="36">
        <v>7.4999999999999997E-2</v>
      </c>
      <c r="I488" s="36">
        <v>7.4999999999999997E-2</v>
      </c>
      <c r="J488" s="37">
        <v>2.3250000000000002</v>
      </c>
      <c r="K488" s="37">
        <v>4.75</v>
      </c>
      <c r="L488" s="36">
        <v>0.125</v>
      </c>
    </row>
    <row r="489" spans="1:12">
      <c r="A489" s="305"/>
      <c r="B489" s="268"/>
      <c r="C489" s="60" t="s">
        <v>137</v>
      </c>
      <c r="D489" s="95" t="s">
        <v>138</v>
      </c>
      <c r="E489" s="39">
        <v>18</v>
      </c>
      <c r="F489" s="35">
        <v>18</v>
      </c>
      <c r="G489" s="35">
        <v>65.52</v>
      </c>
      <c r="H489" s="36">
        <v>0.09</v>
      </c>
      <c r="I489" s="36">
        <v>1.8000000000000002E-2</v>
      </c>
      <c r="J489" s="37">
        <v>16.236000000000001</v>
      </c>
      <c r="K489" s="37">
        <v>7.56</v>
      </c>
      <c r="L489" s="36">
        <v>0.88200000000000001</v>
      </c>
    </row>
    <row r="490" spans="1:12" ht="35.25" customHeight="1">
      <c r="A490" s="63" t="s">
        <v>225</v>
      </c>
      <c r="B490" s="53" t="s">
        <v>154</v>
      </c>
      <c r="C490" s="60" t="s">
        <v>155</v>
      </c>
      <c r="D490" s="95" t="s">
        <v>156</v>
      </c>
      <c r="E490" s="64">
        <v>50</v>
      </c>
      <c r="F490" s="35">
        <v>50</v>
      </c>
      <c r="G490" s="35">
        <v>151.5</v>
      </c>
      <c r="H490" s="36">
        <v>8.75</v>
      </c>
      <c r="I490" s="36">
        <v>12.75</v>
      </c>
      <c r="J490" s="37">
        <v>0.45</v>
      </c>
      <c r="K490" s="37">
        <v>391.5</v>
      </c>
      <c r="L490" s="36">
        <v>0.65</v>
      </c>
    </row>
    <row r="491" spans="1:12" ht="15" customHeight="1">
      <c r="A491" s="235" t="s">
        <v>90</v>
      </c>
      <c r="B491" s="267" t="s">
        <v>157</v>
      </c>
      <c r="C491" s="60" t="s">
        <v>158</v>
      </c>
      <c r="D491" s="95" t="s">
        <v>159</v>
      </c>
      <c r="E491" s="39">
        <v>50</v>
      </c>
      <c r="F491" s="35">
        <v>50</v>
      </c>
      <c r="G491" s="35">
        <v>185.5</v>
      </c>
      <c r="H491" s="36">
        <v>6.5</v>
      </c>
      <c r="I491" s="36">
        <v>0.75</v>
      </c>
      <c r="J491" s="37">
        <v>37.35</v>
      </c>
      <c r="K491" s="37">
        <v>12.5</v>
      </c>
      <c r="L491" s="36">
        <v>1.95</v>
      </c>
    </row>
    <row r="492" spans="1:12" ht="15" customHeight="1">
      <c r="A492" s="263"/>
      <c r="B492" s="273"/>
      <c r="C492" s="60" t="s">
        <v>80</v>
      </c>
      <c r="D492" s="95" t="s">
        <v>81</v>
      </c>
      <c r="E492" s="39">
        <v>10</v>
      </c>
      <c r="F492" s="35">
        <v>9.5</v>
      </c>
      <c r="G492" s="35">
        <v>3.8</v>
      </c>
      <c r="H492" s="36">
        <v>0.13299999999999998</v>
      </c>
      <c r="I492" s="36">
        <v>9.5000000000000015E-3</v>
      </c>
      <c r="J492" s="37">
        <v>0.73150000000000004</v>
      </c>
      <c r="K492" s="37">
        <v>2.2799999999999998</v>
      </c>
      <c r="L492" s="36">
        <v>2.8500000000000001E-2</v>
      </c>
    </row>
    <row r="493" spans="1:12" ht="15" customHeight="1">
      <c r="A493" s="263"/>
      <c r="B493" s="273"/>
      <c r="C493" s="60" t="s">
        <v>82</v>
      </c>
      <c r="D493" s="95" t="s">
        <v>83</v>
      </c>
      <c r="E493" s="39">
        <v>10</v>
      </c>
      <c r="F493" s="35">
        <v>8</v>
      </c>
      <c r="G493" s="35">
        <v>1.84</v>
      </c>
      <c r="H493" s="36">
        <v>7.2000000000000008E-2</v>
      </c>
      <c r="I493" s="36">
        <v>8.0000000000000002E-3</v>
      </c>
      <c r="J493" s="37">
        <v>0.32799999999999996</v>
      </c>
      <c r="K493" s="37">
        <v>0.72</v>
      </c>
      <c r="L493" s="36">
        <v>0.04</v>
      </c>
    </row>
    <row r="494" spans="1:12" ht="15" customHeight="1">
      <c r="A494" s="263"/>
      <c r="B494" s="273"/>
      <c r="C494" s="60" t="s">
        <v>84</v>
      </c>
      <c r="D494" s="94" t="s">
        <v>85</v>
      </c>
      <c r="E494" s="34">
        <v>1</v>
      </c>
      <c r="F494" s="35">
        <v>0.95</v>
      </c>
      <c r="G494" s="35">
        <v>1.3679999999999999</v>
      </c>
      <c r="H494" s="36">
        <v>4.4649999999999995E-2</v>
      </c>
      <c r="I494" s="36">
        <v>2.8499999999999997E-3</v>
      </c>
      <c r="J494" s="37">
        <v>0.27834999999999999</v>
      </c>
      <c r="K494" s="37">
        <v>0.38</v>
      </c>
      <c r="L494" s="36">
        <v>1.2349999999999998E-2</v>
      </c>
    </row>
    <row r="495" spans="1:12" ht="15" customHeight="1">
      <c r="A495" s="263"/>
      <c r="B495" s="273"/>
      <c r="C495" s="60" t="s">
        <v>128</v>
      </c>
      <c r="D495" s="95" t="s">
        <v>129</v>
      </c>
      <c r="E495" s="40">
        <v>1</v>
      </c>
      <c r="F495" s="35">
        <v>1</v>
      </c>
      <c r="G495" s="35">
        <v>3.92</v>
      </c>
      <c r="H495" s="36">
        <v>4.4000000000000004E-2</v>
      </c>
      <c r="I495" s="36">
        <v>5.2999999999999999E-2</v>
      </c>
      <c r="J495" s="37">
        <v>0.81799999999999995</v>
      </c>
      <c r="K495" s="37">
        <v>0.11</v>
      </c>
      <c r="L495" s="36">
        <v>1.3999999999999999E-2</v>
      </c>
    </row>
    <row r="496" spans="1:12" ht="15" customHeight="1">
      <c r="A496" s="263"/>
      <c r="B496" s="273"/>
      <c r="C496" s="60" t="s">
        <v>88</v>
      </c>
      <c r="D496" s="95" t="s">
        <v>89</v>
      </c>
      <c r="E496" s="39">
        <v>5</v>
      </c>
      <c r="F496" s="35">
        <v>5</v>
      </c>
      <c r="G496" s="35">
        <v>45</v>
      </c>
      <c r="H496" s="36">
        <v>0</v>
      </c>
      <c r="I496" s="36">
        <v>5</v>
      </c>
      <c r="J496" s="37">
        <v>0</v>
      </c>
      <c r="K496" s="37">
        <v>0</v>
      </c>
      <c r="L496" s="36">
        <v>0</v>
      </c>
    </row>
    <row r="497" spans="1:12">
      <c r="A497" s="263"/>
      <c r="B497" s="273"/>
      <c r="C497" s="60" t="s">
        <v>114</v>
      </c>
      <c r="D497" s="95" t="s">
        <v>115</v>
      </c>
      <c r="E497" s="39">
        <v>10</v>
      </c>
      <c r="F497" s="35">
        <v>4</v>
      </c>
      <c r="G497" s="35">
        <v>1.48</v>
      </c>
      <c r="H497" s="36">
        <v>4.8000000000000001E-2</v>
      </c>
      <c r="I497" s="36">
        <v>4.0000000000000001E-3</v>
      </c>
      <c r="J497" s="37">
        <v>0.27200000000000002</v>
      </c>
      <c r="K497" s="37">
        <v>2.2799999999999998</v>
      </c>
      <c r="L497" s="36">
        <v>0.02</v>
      </c>
    </row>
    <row r="498" spans="1:12">
      <c r="A498" s="263"/>
      <c r="B498" s="273"/>
      <c r="C498" s="60" t="s">
        <v>116</v>
      </c>
      <c r="D498" s="95" t="s">
        <v>117</v>
      </c>
      <c r="E498" s="39">
        <v>10</v>
      </c>
      <c r="F498" s="35">
        <v>8.5</v>
      </c>
      <c r="G498" s="35">
        <v>2.9750000000000001</v>
      </c>
      <c r="H498" s="36">
        <v>8.5000000000000006E-2</v>
      </c>
      <c r="I498" s="36">
        <v>2.5499999999999998E-2</v>
      </c>
      <c r="J498" s="37">
        <v>0.53549999999999998</v>
      </c>
      <c r="K498" s="37">
        <v>0.59499999999999997</v>
      </c>
      <c r="L498" s="36">
        <v>3.4000000000000002E-2</v>
      </c>
    </row>
    <row r="499" spans="1:12">
      <c r="A499" s="305"/>
      <c r="B499" s="268"/>
      <c r="C499" s="60" t="s">
        <v>86</v>
      </c>
      <c r="D499" s="95" t="s">
        <v>87</v>
      </c>
      <c r="E499" s="40">
        <v>1</v>
      </c>
      <c r="F499" s="35">
        <v>1</v>
      </c>
      <c r="G499" s="35">
        <v>0</v>
      </c>
      <c r="H499" s="36">
        <v>0</v>
      </c>
      <c r="I499" s="36">
        <v>0</v>
      </c>
      <c r="J499" s="37">
        <v>0</v>
      </c>
      <c r="K499" s="37">
        <v>0.24</v>
      </c>
      <c r="L499" s="36">
        <v>3.0000000000000001E-3</v>
      </c>
    </row>
    <row r="500" spans="1:12" ht="25.5">
      <c r="A500" s="43" t="s">
        <v>94</v>
      </c>
      <c r="B500" s="44"/>
      <c r="C500" s="74"/>
      <c r="D500" s="38"/>
      <c r="E500" s="39"/>
      <c r="F500" s="35"/>
      <c r="G500" s="35"/>
      <c r="H500" s="36"/>
      <c r="I500" s="36"/>
      <c r="J500" s="37"/>
      <c r="K500" s="37"/>
      <c r="L500" s="36"/>
    </row>
    <row r="501" spans="1:12">
      <c r="A501" s="281"/>
      <c r="B501" s="281"/>
      <c r="C501" s="281"/>
      <c r="D501" s="281"/>
      <c r="E501" s="281"/>
      <c r="F501" s="281"/>
      <c r="G501" s="281"/>
      <c r="H501" s="281"/>
      <c r="I501" s="281"/>
      <c r="J501" s="281"/>
      <c r="K501" s="281"/>
      <c r="L501" s="282"/>
    </row>
    <row r="502" spans="1:12" ht="15.75">
      <c r="A502" s="277" t="s">
        <v>98</v>
      </c>
      <c r="B502" s="278"/>
      <c r="C502" s="278"/>
      <c r="D502" s="278"/>
      <c r="E502" s="278"/>
      <c r="F502" s="279"/>
      <c r="G502" s="45">
        <f>SUM(G485:G501)</f>
        <v>473.90300000000002</v>
      </c>
      <c r="H502" s="45">
        <f>SUM(H484:H501)</f>
        <v>15.84165</v>
      </c>
      <c r="I502" s="45">
        <f>SUM(I485:I501)</f>
        <v>18.695850000000004</v>
      </c>
      <c r="J502" s="45">
        <f>SUM(J485:J501)</f>
        <v>59.324350000000003</v>
      </c>
      <c r="K502" s="45">
        <f>SUM(K484:K501)</f>
        <v>422.91500000000002</v>
      </c>
      <c r="L502" s="45">
        <f>SUM(L484:L501)</f>
        <v>3.7588500000000002</v>
      </c>
    </row>
    <row r="503" spans="1:12" ht="15.75">
      <c r="A503" s="277" t="s">
        <v>99</v>
      </c>
      <c r="B503" s="278"/>
      <c r="C503" s="278"/>
      <c r="D503" s="278"/>
      <c r="E503" s="278"/>
      <c r="F503" s="279"/>
      <c r="G503" s="46">
        <v>2245</v>
      </c>
      <c r="H503" s="46">
        <v>78.5</v>
      </c>
      <c r="I503" s="46">
        <v>74.8</v>
      </c>
      <c r="J503" s="46">
        <v>314.3</v>
      </c>
      <c r="K503" s="46">
        <v>1100</v>
      </c>
      <c r="L503" s="46">
        <v>8.6999999999999993</v>
      </c>
    </row>
    <row r="504" spans="1:12" ht="15.75">
      <c r="A504" s="277" t="s">
        <v>100</v>
      </c>
      <c r="B504" s="278"/>
      <c r="C504" s="278"/>
      <c r="D504" s="278"/>
      <c r="E504" s="278"/>
      <c r="F504" s="279"/>
      <c r="G504" s="47">
        <f t="shared" ref="G504:L504" si="42">G502/G503</f>
        <v>0.21109265033407573</v>
      </c>
      <c r="H504" s="47">
        <f t="shared" si="42"/>
        <v>0.20180445859872612</v>
      </c>
      <c r="I504" s="48">
        <f t="shared" si="42"/>
        <v>0.24994451871657761</v>
      </c>
      <c r="J504" s="47">
        <f t="shared" si="42"/>
        <v>0.18875071587655107</v>
      </c>
      <c r="K504" s="47">
        <f t="shared" si="42"/>
        <v>0.38446818181818182</v>
      </c>
      <c r="L504" s="47">
        <f t="shared" si="42"/>
        <v>0.43205172413793108</v>
      </c>
    </row>
    <row r="505" spans="1:12">
      <c r="A505" s="280"/>
      <c r="B505" s="281"/>
      <c r="C505" s="281"/>
      <c r="D505" s="281"/>
      <c r="E505" s="281"/>
      <c r="F505" s="281"/>
      <c r="G505" s="281"/>
      <c r="H505" s="281"/>
      <c r="I505" s="281"/>
      <c r="J505" s="281"/>
      <c r="K505" s="281"/>
      <c r="L505" s="282"/>
    </row>
    <row r="506" spans="1:12" ht="15.75">
      <c r="A506" s="259" t="s">
        <v>101</v>
      </c>
      <c r="B506" s="260"/>
      <c r="C506" s="260"/>
      <c r="D506" s="260"/>
      <c r="E506" s="260"/>
      <c r="F506" s="261"/>
      <c r="G506" s="245" t="s">
        <v>102</v>
      </c>
      <c r="H506" s="246"/>
      <c r="I506" s="246"/>
      <c r="J506" s="246"/>
      <c r="K506" s="246"/>
      <c r="L506" s="247"/>
    </row>
    <row r="507" spans="1:12" ht="39" customHeight="1">
      <c r="A507" s="50" t="s">
        <v>103</v>
      </c>
      <c r="B507" s="257"/>
      <c r="C507" s="257"/>
      <c r="D507" s="257"/>
      <c r="E507" s="257"/>
      <c r="F507" s="257"/>
      <c r="G507" s="283" t="s">
        <v>104</v>
      </c>
      <c r="H507" s="283"/>
      <c r="I507" s="283"/>
      <c r="J507" s="292" t="str">
        <f t="shared" ref="J507" si="43">$J$30</f>
        <v>MND 1192925014</v>
      </c>
      <c r="K507" s="293"/>
      <c r="L507" s="294"/>
    </row>
    <row r="508" spans="1:12">
      <c r="A508" s="330"/>
      <c r="B508" s="330"/>
      <c r="C508" s="330"/>
      <c r="D508" s="330"/>
      <c r="E508" s="330"/>
      <c r="F508" s="330"/>
      <c r="G508" s="330"/>
      <c r="H508" s="330"/>
      <c r="I508" s="330"/>
      <c r="J508" s="330"/>
      <c r="K508" s="330"/>
      <c r="L508" s="330"/>
    </row>
  </sheetData>
  <mergeCells count="509">
    <mergeCell ref="A8:L8"/>
    <mergeCell ref="B507:F507"/>
    <mergeCell ref="G507:I507"/>
    <mergeCell ref="J507:L507"/>
    <mergeCell ref="A508:L508"/>
    <mergeCell ref="A49:L49"/>
    <mergeCell ref="A24:L24"/>
    <mergeCell ref="A74:L74"/>
    <mergeCell ref="A102:L102"/>
    <mergeCell ref="A502:F502"/>
    <mergeCell ref="A503:F503"/>
    <mergeCell ref="A504:F504"/>
    <mergeCell ref="A505:L505"/>
    <mergeCell ref="A506:F506"/>
    <mergeCell ref="G506:L506"/>
    <mergeCell ref="G486:L486"/>
    <mergeCell ref="A488:A489"/>
    <mergeCell ref="B488:B489"/>
    <mergeCell ref="A491:A499"/>
    <mergeCell ref="B491:B499"/>
    <mergeCell ref="A501:L501"/>
    <mergeCell ref="A486:A487"/>
    <mergeCell ref="B486:B487"/>
    <mergeCell ref="C486:C487"/>
    <mergeCell ref="D486:D487"/>
    <mergeCell ref="E486:E487"/>
    <mergeCell ref="F486:F487"/>
    <mergeCell ref="B482:F482"/>
    <mergeCell ref="G482:I482"/>
    <mergeCell ref="J482:L482"/>
    <mergeCell ref="A483:L483"/>
    <mergeCell ref="A484:L484"/>
    <mergeCell ref="A485:L485"/>
    <mergeCell ref="A475:L475"/>
    <mergeCell ref="A476:F476"/>
    <mergeCell ref="A477:F477"/>
    <mergeCell ref="A478:F478"/>
    <mergeCell ref="A480:L480"/>
    <mergeCell ref="A481:F481"/>
    <mergeCell ref="G481:L481"/>
    <mergeCell ref="G459:L459"/>
    <mergeCell ref="A461:A463"/>
    <mergeCell ref="B461:B463"/>
    <mergeCell ref="A464:A471"/>
    <mergeCell ref="B464:B471"/>
    <mergeCell ref="A472:A473"/>
    <mergeCell ref="B472:B473"/>
    <mergeCell ref="B457:F457"/>
    <mergeCell ref="G457:I457"/>
    <mergeCell ref="J457:L457"/>
    <mergeCell ref="A458:L458"/>
    <mergeCell ref="A459:A460"/>
    <mergeCell ref="B459:B460"/>
    <mergeCell ref="C459:C460"/>
    <mergeCell ref="D459:D460"/>
    <mergeCell ref="E459:E460"/>
    <mergeCell ref="F459:F460"/>
    <mergeCell ref="A451:L451"/>
    <mergeCell ref="A452:F452"/>
    <mergeCell ref="A453:F453"/>
    <mergeCell ref="A454:F454"/>
    <mergeCell ref="A455:L455"/>
    <mergeCell ref="A456:F456"/>
    <mergeCell ref="G456:L456"/>
    <mergeCell ref="G434:L434"/>
    <mergeCell ref="A436:A437"/>
    <mergeCell ref="B436:B437"/>
    <mergeCell ref="A438:A445"/>
    <mergeCell ref="B438:B445"/>
    <mergeCell ref="A446:A449"/>
    <mergeCell ref="B446:B449"/>
    <mergeCell ref="B432:F432"/>
    <mergeCell ref="G432:I432"/>
    <mergeCell ref="J432:L432"/>
    <mergeCell ref="A433:L433"/>
    <mergeCell ref="A434:A435"/>
    <mergeCell ref="B434:B435"/>
    <mergeCell ref="C434:C435"/>
    <mergeCell ref="D434:D435"/>
    <mergeCell ref="E434:E435"/>
    <mergeCell ref="F434:F435"/>
    <mergeCell ref="A425:L425"/>
    <mergeCell ref="A426:F426"/>
    <mergeCell ref="A427:F427"/>
    <mergeCell ref="A428:F428"/>
    <mergeCell ref="A430:L430"/>
    <mergeCell ref="A431:F431"/>
    <mergeCell ref="G431:L431"/>
    <mergeCell ref="A410:A412"/>
    <mergeCell ref="B410:B412"/>
    <mergeCell ref="A413:A420"/>
    <mergeCell ref="B413:B420"/>
    <mergeCell ref="A421:A423"/>
    <mergeCell ref="B421:B423"/>
    <mergeCell ref="A406:L406"/>
    <mergeCell ref="A407:L407"/>
    <mergeCell ref="A408:A409"/>
    <mergeCell ref="B408:B409"/>
    <mergeCell ref="C408:C409"/>
    <mergeCell ref="D408:D409"/>
    <mergeCell ref="E408:E409"/>
    <mergeCell ref="F408:F409"/>
    <mergeCell ref="G408:L408"/>
    <mergeCell ref="A403:L403"/>
    <mergeCell ref="A404:F404"/>
    <mergeCell ref="G404:L404"/>
    <mergeCell ref="B405:F405"/>
    <mergeCell ref="G405:I405"/>
    <mergeCell ref="J405:L405"/>
    <mergeCell ref="A395:A396"/>
    <mergeCell ref="B395:B396"/>
    <mergeCell ref="A398:L398"/>
    <mergeCell ref="A399:F399"/>
    <mergeCell ref="A400:F400"/>
    <mergeCell ref="A401:F401"/>
    <mergeCell ref="F385:F386"/>
    <mergeCell ref="G385:L385"/>
    <mergeCell ref="A387:A389"/>
    <mergeCell ref="B387:B389"/>
    <mergeCell ref="A390:A394"/>
    <mergeCell ref="B390:B394"/>
    <mergeCell ref="B382:F382"/>
    <mergeCell ref="G382:I382"/>
    <mergeCell ref="J382:L382"/>
    <mergeCell ref="A383:L383"/>
    <mergeCell ref="A384:L384"/>
    <mergeCell ref="A385:A386"/>
    <mergeCell ref="B385:B386"/>
    <mergeCell ref="C385:C386"/>
    <mergeCell ref="D385:D386"/>
    <mergeCell ref="E385:E386"/>
    <mergeCell ref="A376:F376"/>
    <mergeCell ref="A377:F377"/>
    <mergeCell ref="A378:F378"/>
    <mergeCell ref="A380:L380"/>
    <mergeCell ref="A381:F381"/>
    <mergeCell ref="G381:L381"/>
    <mergeCell ref="G358:L358"/>
    <mergeCell ref="A360:A361"/>
    <mergeCell ref="B360:B361"/>
    <mergeCell ref="A362:A369"/>
    <mergeCell ref="B362:B369"/>
    <mergeCell ref="A370:A373"/>
    <mergeCell ref="B370:B373"/>
    <mergeCell ref="B355:F355"/>
    <mergeCell ref="G355:I355"/>
    <mergeCell ref="J355:L355"/>
    <mergeCell ref="A357:L357"/>
    <mergeCell ref="A358:A359"/>
    <mergeCell ref="B358:B359"/>
    <mergeCell ref="C358:C359"/>
    <mergeCell ref="D358:D359"/>
    <mergeCell ref="E358:E359"/>
    <mergeCell ref="F358:F359"/>
    <mergeCell ref="A348:L348"/>
    <mergeCell ref="A349:F349"/>
    <mergeCell ref="A350:F350"/>
    <mergeCell ref="A351:F351"/>
    <mergeCell ref="A353:L353"/>
    <mergeCell ref="A354:F354"/>
    <mergeCell ref="G354:L354"/>
    <mergeCell ref="A334:A335"/>
    <mergeCell ref="B334:B335"/>
    <mergeCell ref="A336:A343"/>
    <mergeCell ref="B336:B343"/>
    <mergeCell ref="A344:A346"/>
    <mergeCell ref="B344:B346"/>
    <mergeCell ref="A330:L330"/>
    <mergeCell ref="A331:L331"/>
    <mergeCell ref="A332:A333"/>
    <mergeCell ref="B332:B333"/>
    <mergeCell ref="C332:C333"/>
    <mergeCell ref="D332:D333"/>
    <mergeCell ref="E332:E333"/>
    <mergeCell ref="F332:F333"/>
    <mergeCell ref="G332:L332"/>
    <mergeCell ref="A327:L327"/>
    <mergeCell ref="A328:F328"/>
    <mergeCell ref="G328:L328"/>
    <mergeCell ref="B329:F329"/>
    <mergeCell ref="G329:I329"/>
    <mergeCell ref="J329:L329"/>
    <mergeCell ref="A317:A321"/>
    <mergeCell ref="B317:B321"/>
    <mergeCell ref="A323:L323"/>
    <mergeCell ref="A324:F324"/>
    <mergeCell ref="A325:F325"/>
    <mergeCell ref="A326:F326"/>
    <mergeCell ref="F306:F307"/>
    <mergeCell ref="G306:L306"/>
    <mergeCell ref="A308:A309"/>
    <mergeCell ref="B308:B309"/>
    <mergeCell ref="A310:A316"/>
    <mergeCell ref="B310:B316"/>
    <mergeCell ref="B303:F303"/>
    <mergeCell ref="G303:I303"/>
    <mergeCell ref="J303:L303"/>
    <mergeCell ref="A304:L304"/>
    <mergeCell ref="A305:L305"/>
    <mergeCell ref="A306:A307"/>
    <mergeCell ref="B306:B307"/>
    <mergeCell ref="C306:C307"/>
    <mergeCell ref="D306:D307"/>
    <mergeCell ref="E306:E307"/>
    <mergeCell ref="A297:L297"/>
    <mergeCell ref="A298:F298"/>
    <mergeCell ref="A299:F299"/>
    <mergeCell ref="A300:F300"/>
    <mergeCell ref="A301:L301"/>
    <mergeCell ref="A302:F302"/>
    <mergeCell ref="G302:L302"/>
    <mergeCell ref="F287:F288"/>
    <mergeCell ref="G287:L287"/>
    <mergeCell ref="A289:A291"/>
    <mergeCell ref="B289:B291"/>
    <mergeCell ref="A293:A295"/>
    <mergeCell ref="B293:B295"/>
    <mergeCell ref="B284:F284"/>
    <mergeCell ref="G284:I284"/>
    <mergeCell ref="J284:L284"/>
    <mergeCell ref="A285:L285"/>
    <mergeCell ref="A286:L286"/>
    <mergeCell ref="A287:A288"/>
    <mergeCell ref="B287:B288"/>
    <mergeCell ref="C287:C288"/>
    <mergeCell ref="D287:D288"/>
    <mergeCell ref="E287:E288"/>
    <mergeCell ref="A278:L278"/>
    <mergeCell ref="A279:F279"/>
    <mergeCell ref="A280:F280"/>
    <mergeCell ref="A281:F281"/>
    <mergeCell ref="A282:L282"/>
    <mergeCell ref="A283:F283"/>
    <mergeCell ref="G283:L283"/>
    <mergeCell ref="A260:A261"/>
    <mergeCell ref="B260:B261"/>
    <mergeCell ref="A262:A270"/>
    <mergeCell ref="B262:B270"/>
    <mergeCell ref="A271:A276"/>
    <mergeCell ref="B271:B276"/>
    <mergeCell ref="A256:L256"/>
    <mergeCell ref="A257:L257"/>
    <mergeCell ref="A258:A259"/>
    <mergeCell ref="B258:B259"/>
    <mergeCell ref="C258:C259"/>
    <mergeCell ref="D258:D259"/>
    <mergeCell ref="E258:E259"/>
    <mergeCell ref="F258:F259"/>
    <mergeCell ref="G258:L258"/>
    <mergeCell ref="A253:L253"/>
    <mergeCell ref="A254:F254"/>
    <mergeCell ref="G254:L254"/>
    <mergeCell ref="B255:F255"/>
    <mergeCell ref="G255:I255"/>
    <mergeCell ref="J255:L255"/>
    <mergeCell ref="A242:A247"/>
    <mergeCell ref="B242:B247"/>
    <mergeCell ref="A249:L249"/>
    <mergeCell ref="A250:F250"/>
    <mergeCell ref="A251:F251"/>
    <mergeCell ref="A252:F252"/>
    <mergeCell ref="F230:F231"/>
    <mergeCell ref="G230:L230"/>
    <mergeCell ref="A232:A233"/>
    <mergeCell ref="B232:B233"/>
    <mergeCell ref="A234:A241"/>
    <mergeCell ref="B234:B241"/>
    <mergeCell ref="B227:F227"/>
    <mergeCell ref="G227:I227"/>
    <mergeCell ref="J227:L227"/>
    <mergeCell ref="A228:L228"/>
    <mergeCell ref="A229:L229"/>
    <mergeCell ref="A230:A231"/>
    <mergeCell ref="B230:B231"/>
    <mergeCell ref="C230:C231"/>
    <mergeCell ref="D230:D231"/>
    <mergeCell ref="E230:E231"/>
    <mergeCell ref="A221:L221"/>
    <mergeCell ref="A222:F222"/>
    <mergeCell ref="A223:F223"/>
    <mergeCell ref="A224:F224"/>
    <mergeCell ref="A225:L225"/>
    <mergeCell ref="A226:F226"/>
    <mergeCell ref="G226:L226"/>
    <mergeCell ref="A209:A211"/>
    <mergeCell ref="B209:B211"/>
    <mergeCell ref="A212:A217"/>
    <mergeCell ref="B212:B217"/>
    <mergeCell ref="A218:A219"/>
    <mergeCell ref="B218:B219"/>
    <mergeCell ref="A205:L205"/>
    <mergeCell ref="A206:L206"/>
    <mergeCell ref="A207:A208"/>
    <mergeCell ref="B207:B208"/>
    <mergeCell ref="C207:C208"/>
    <mergeCell ref="D207:D208"/>
    <mergeCell ref="E207:E208"/>
    <mergeCell ref="F207:F208"/>
    <mergeCell ref="G207:L207"/>
    <mergeCell ref="A201:F201"/>
    <mergeCell ref="A202:L202"/>
    <mergeCell ref="A203:F203"/>
    <mergeCell ref="G203:L203"/>
    <mergeCell ref="B204:F204"/>
    <mergeCell ref="G204:I204"/>
    <mergeCell ref="J204:L204"/>
    <mergeCell ref="A190:A196"/>
    <mergeCell ref="B190:B193"/>
    <mergeCell ref="B194:B196"/>
    <mergeCell ref="A198:L198"/>
    <mergeCell ref="A199:F199"/>
    <mergeCell ref="A200:F200"/>
    <mergeCell ref="F179:F180"/>
    <mergeCell ref="G179:L179"/>
    <mergeCell ref="A181:A182"/>
    <mergeCell ref="B181:B182"/>
    <mergeCell ref="A183:A189"/>
    <mergeCell ref="B183:B189"/>
    <mergeCell ref="B176:F176"/>
    <mergeCell ref="G176:I176"/>
    <mergeCell ref="J176:L176"/>
    <mergeCell ref="A177:L177"/>
    <mergeCell ref="A178:L178"/>
    <mergeCell ref="A179:A180"/>
    <mergeCell ref="B179:B180"/>
    <mergeCell ref="C179:C180"/>
    <mergeCell ref="D179:D180"/>
    <mergeCell ref="E179:E180"/>
    <mergeCell ref="A170:L170"/>
    <mergeCell ref="A171:F171"/>
    <mergeCell ref="A172:F172"/>
    <mergeCell ref="A173:F173"/>
    <mergeCell ref="A174:L174"/>
    <mergeCell ref="A175:F175"/>
    <mergeCell ref="G175:L175"/>
    <mergeCell ref="A155:A157"/>
    <mergeCell ref="B155:B157"/>
    <mergeCell ref="A158:A166"/>
    <mergeCell ref="B158:B166"/>
    <mergeCell ref="A167:A168"/>
    <mergeCell ref="B167:B168"/>
    <mergeCell ref="A151:L151"/>
    <mergeCell ref="A152:L152"/>
    <mergeCell ref="A153:A154"/>
    <mergeCell ref="B153:B154"/>
    <mergeCell ref="C153:C154"/>
    <mergeCell ref="D153:D154"/>
    <mergeCell ref="E153:E154"/>
    <mergeCell ref="F153:F154"/>
    <mergeCell ref="G153:L153"/>
    <mergeCell ref="A146:F146"/>
    <mergeCell ref="A147:F147"/>
    <mergeCell ref="A148:L148"/>
    <mergeCell ref="A149:F149"/>
    <mergeCell ref="G149:L149"/>
    <mergeCell ref="B150:F150"/>
    <mergeCell ref="G150:I150"/>
    <mergeCell ref="J150:L150"/>
    <mergeCell ref="A136:A138"/>
    <mergeCell ref="B136:B138"/>
    <mergeCell ref="A140:A142"/>
    <mergeCell ref="B140:B142"/>
    <mergeCell ref="A144:L144"/>
    <mergeCell ref="A145:F145"/>
    <mergeCell ref="A132:L132"/>
    <mergeCell ref="A133:L133"/>
    <mergeCell ref="A134:A135"/>
    <mergeCell ref="B134:B135"/>
    <mergeCell ref="C134:C135"/>
    <mergeCell ref="D134:D135"/>
    <mergeCell ref="E134:E135"/>
    <mergeCell ref="F134:F135"/>
    <mergeCell ref="G134:L134"/>
    <mergeCell ref="A128:F128"/>
    <mergeCell ref="A129:L129"/>
    <mergeCell ref="A130:F130"/>
    <mergeCell ref="G130:L130"/>
    <mergeCell ref="B131:F131"/>
    <mergeCell ref="G131:I131"/>
    <mergeCell ref="J131:L131"/>
    <mergeCell ref="A113:A114"/>
    <mergeCell ref="B113:B114"/>
    <mergeCell ref="A116:A123"/>
    <mergeCell ref="B116:B123"/>
    <mergeCell ref="A126:F126"/>
    <mergeCell ref="A127:F127"/>
    <mergeCell ref="A109:L109"/>
    <mergeCell ref="A110:L110"/>
    <mergeCell ref="A111:A112"/>
    <mergeCell ref="B111:B112"/>
    <mergeCell ref="C111:C112"/>
    <mergeCell ref="D111:D112"/>
    <mergeCell ref="E111:E112"/>
    <mergeCell ref="F111:F112"/>
    <mergeCell ref="G111:L111"/>
    <mergeCell ref="A106:L106"/>
    <mergeCell ref="A107:F107"/>
    <mergeCell ref="G107:L107"/>
    <mergeCell ref="B108:F108"/>
    <mergeCell ref="G108:I108"/>
    <mergeCell ref="J108:L108"/>
    <mergeCell ref="A95:A100"/>
    <mergeCell ref="B95:B98"/>
    <mergeCell ref="B99:B100"/>
    <mergeCell ref="A103:F103"/>
    <mergeCell ref="A104:F104"/>
    <mergeCell ref="A105:F105"/>
    <mergeCell ref="F83:F84"/>
    <mergeCell ref="G83:L83"/>
    <mergeCell ref="A85:A86"/>
    <mergeCell ref="B85:B86"/>
    <mergeCell ref="A87:A94"/>
    <mergeCell ref="B87:B94"/>
    <mergeCell ref="B80:F80"/>
    <mergeCell ref="G80:I80"/>
    <mergeCell ref="J80:L80"/>
    <mergeCell ref="A81:L81"/>
    <mergeCell ref="A82:L82"/>
    <mergeCell ref="A83:A84"/>
    <mergeCell ref="B83:B84"/>
    <mergeCell ref="C83:C84"/>
    <mergeCell ref="D83:D84"/>
    <mergeCell ref="E83:E84"/>
    <mergeCell ref="A75:F75"/>
    <mergeCell ref="A76:F76"/>
    <mergeCell ref="A77:F77"/>
    <mergeCell ref="A78:L78"/>
    <mergeCell ref="A79:F79"/>
    <mergeCell ref="G79:L79"/>
    <mergeCell ref="A60:A62"/>
    <mergeCell ref="B60:B62"/>
    <mergeCell ref="A63:A70"/>
    <mergeCell ref="B63:B70"/>
    <mergeCell ref="A71:A72"/>
    <mergeCell ref="B71:B72"/>
    <mergeCell ref="A57:L57"/>
    <mergeCell ref="A58:A59"/>
    <mergeCell ref="B58:B59"/>
    <mergeCell ref="C58:C59"/>
    <mergeCell ref="D58:D59"/>
    <mergeCell ref="E58:E59"/>
    <mergeCell ref="F58:F59"/>
    <mergeCell ref="G58:L58"/>
    <mergeCell ref="A54:F54"/>
    <mergeCell ref="G54:L54"/>
    <mergeCell ref="B55:F55"/>
    <mergeCell ref="G55:I55"/>
    <mergeCell ref="J55:L55"/>
    <mergeCell ref="A56:L56"/>
    <mergeCell ref="A46:A47"/>
    <mergeCell ref="B46:B47"/>
    <mergeCell ref="A50:F50"/>
    <mergeCell ref="A51:F51"/>
    <mergeCell ref="A52:F52"/>
    <mergeCell ref="A53:L53"/>
    <mergeCell ref="F33:F34"/>
    <mergeCell ref="G33:L33"/>
    <mergeCell ref="A35:A37"/>
    <mergeCell ref="B35:B37"/>
    <mergeCell ref="A38:A45"/>
    <mergeCell ref="B38:B45"/>
    <mergeCell ref="B30:F30"/>
    <mergeCell ref="G30:I30"/>
    <mergeCell ref="J30:L30"/>
    <mergeCell ref="A31:L31"/>
    <mergeCell ref="A32:L32"/>
    <mergeCell ref="A33:A34"/>
    <mergeCell ref="B33:B34"/>
    <mergeCell ref="C33:C34"/>
    <mergeCell ref="D33:D34"/>
    <mergeCell ref="E33:E34"/>
    <mergeCell ref="A27:F27"/>
    <mergeCell ref="A28:L28"/>
    <mergeCell ref="A29:F29"/>
    <mergeCell ref="G29:L29"/>
    <mergeCell ref="G11:L11"/>
    <mergeCell ref="A13:A15"/>
    <mergeCell ref="B13:B15"/>
    <mergeCell ref="A16:A21"/>
    <mergeCell ref="B16:B21"/>
    <mergeCell ref="A9:L9"/>
    <mergeCell ref="A11:A12"/>
    <mergeCell ref="B11:B12"/>
    <mergeCell ref="C11:C12"/>
    <mergeCell ref="D11:D12"/>
    <mergeCell ref="E11:E12"/>
    <mergeCell ref="F11:F12"/>
    <mergeCell ref="A25:F25"/>
    <mergeCell ref="A26:F26"/>
    <mergeCell ref="A6:B7"/>
    <mergeCell ref="E6:F6"/>
    <mergeCell ref="G6:H6"/>
    <mergeCell ref="I6:J6"/>
    <mergeCell ref="K6:L6"/>
    <mergeCell ref="E7:F7"/>
    <mergeCell ref="G7:H7"/>
    <mergeCell ref="I7:J7"/>
    <mergeCell ref="K7:L7"/>
    <mergeCell ref="A1:L1"/>
    <mergeCell ref="A2:L2"/>
    <mergeCell ref="A3:L3"/>
    <mergeCell ref="A4:B4"/>
    <mergeCell ref="C4:E4"/>
    <mergeCell ref="F4:G4"/>
    <mergeCell ref="H4:L4"/>
    <mergeCell ref="A5:B5"/>
    <mergeCell ref="C5:E5"/>
    <mergeCell ref="F5:G5"/>
    <mergeCell ref="H5:L5"/>
  </mergeCells>
  <printOptions horizontalCentered="1"/>
  <pageMargins left="0.31496062992125984" right="0.31496062992125984" top="0.35433070866141736" bottom="0.35433070866141736" header="0" footer="0"/>
  <pageSetup scale="73" orientation="landscape" r:id="rId1"/>
  <rowBreaks count="20" manualBreakCount="20">
    <brk id="31" max="11" man="1"/>
    <brk id="56" max="11" man="1"/>
    <brk id="81" max="11" man="1"/>
    <brk id="109" max="11" man="1"/>
    <brk id="132" max="11" man="1"/>
    <brk id="151" max="11" man="1"/>
    <brk id="177" max="11" man="1"/>
    <brk id="205" max="11" man="1"/>
    <brk id="227" max="11" man="1"/>
    <brk id="256" max="11" man="1"/>
    <brk id="285" max="11" man="1"/>
    <brk id="304" max="11" man="1"/>
    <brk id="330" max="11" man="1"/>
    <brk id="356" max="11" man="1"/>
    <brk id="383" max="11" man="1"/>
    <brk id="406" max="11" man="1"/>
    <brk id="432" max="11" man="1"/>
    <brk id="457" max="11" man="1"/>
    <brk id="483" max="11" man="1"/>
    <brk id="507" max="11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30C2D-6467-4F59-9E6D-DA9B16462C94}">
  <sheetPr codeName="Hoja4"/>
  <dimension ref="A1:L21"/>
  <sheetViews>
    <sheetView zoomScale="85" zoomScaleNormal="85" zoomScaleSheetLayoutView="80" workbookViewId="0">
      <selection activeCell="J12" sqref="J12"/>
    </sheetView>
  </sheetViews>
  <sheetFormatPr baseColWidth="10" defaultRowHeight="15"/>
  <cols>
    <col min="1" max="1" width="20.42578125" style="21" customWidth="1"/>
    <col min="2" max="2" width="19.7109375" style="21" customWidth="1"/>
    <col min="3" max="3" width="47.5703125" style="96" customWidth="1"/>
    <col min="4" max="4" width="8.5703125" style="21" customWidth="1"/>
    <col min="5" max="5" width="11.28515625" style="97" customWidth="1"/>
    <col min="6" max="6" width="9" style="97" customWidth="1"/>
    <col min="7" max="7" width="12.85546875" style="21" customWidth="1"/>
    <col min="8" max="8" width="12.140625" style="21" customWidth="1"/>
    <col min="9" max="9" width="9" style="21" customWidth="1"/>
    <col min="10" max="10" width="8.85546875" style="21" customWidth="1"/>
    <col min="11" max="11" width="9.7109375" style="21" customWidth="1"/>
    <col min="12" max="12" width="11" style="21" customWidth="1"/>
    <col min="13" max="252" width="11.42578125" style="21"/>
    <col min="253" max="253" width="18.28515625" style="21" customWidth="1"/>
    <col min="254" max="254" width="23.85546875" style="21" customWidth="1"/>
    <col min="255" max="255" width="26.5703125" style="21" customWidth="1"/>
    <col min="256" max="259" width="11.42578125" style="21"/>
    <col min="260" max="260" width="11.28515625" style="21" customWidth="1"/>
    <col min="261" max="261" width="9" style="21" customWidth="1"/>
    <col min="262" max="262" width="8.85546875" style="21" customWidth="1"/>
    <col min="263" max="263" width="9.7109375" style="21" customWidth="1"/>
    <col min="264" max="264" width="9.42578125" style="21" customWidth="1"/>
    <col min="265" max="508" width="11.42578125" style="21"/>
    <col min="509" max="509" width="18.28515625" style="21" customWidth="1"/>
    <col min="510" max="510" width="23.85546875" style="21" customWidth="1"/>
    <col min="511" max="511" width="26.5703125" style="21" customWidth="1"/>
    <col min="512" max="515" width="11.42578125" style="21"/>
    <col min="516" max="516" width="11.28515625" style="21" customWidth="1"/>
    <col min="517" max="517" width="9" style="21" customWidth="1"/>
    <col min="518" max="518" width="8.85546875" style="21" customWidth="1"/>
    <col min="519" max="519" width="9.7109375" style="21" customWidth="1"/>
    <col min="520" max="520" width="9.42578125" style="21" customWidth="1"/>
    <col min="521" max="764" width="11.42578125" style="21"/>
    <col min="765" max="765" width="18.28515625" style="21" customWidth="1"/>
    <col min="766" max="766" width="23.85546875" style="21" customWidth="1"/>
    <col min="767" max="767" width="26.5703125" style="21" customWidth="1"/>
    <col min="768" max="771" width="11.42578125" style="21"/>
    <col min="772" max="772" width="11.28515625" style="21" customWidth="1"/>
    <col min="773" max="773" width="9" style="21" customWidth="1"/>
    <col min="774" max="774" width="8.85546875" style="21" customWidth="1"/>
    <col min="775" max="775" width="9.7109375" style="21" customWidth="1"/>
    <col min="776" max="776" width="9.42578125" style="21" customWidth="1"/>
    <col min="777" max="1020" width="11.42578125" style="21"/>
    <col min="1021" max="1021" width="18.28515625" style="21" customWidth="1"/>
    <col min="1022" max="1022" width="23.85546875" style="21" customWidth="1"/>
    <col min="1023" max="1023" width="26.5703125" style="21" customWidth="1"/>
    <col min="1024" max="1027" width="11.42578125" style="21"/>
    <col min="1028" max="1028" width="11.28515625" style="21" customWidth="1"/>
    <col min="1029" max="1029" width="9" style="21" customWidth="1"/>
    <col min="1030" max="1030" width="8.85546875" style="21" customWidth="1"/>
    <col min="1031" max="1031" width="9.7109375" style="21" customWidth="1"/>
    <col min="1032" max="1032" width="9.42578125" style="21" customWidth="1"/>
    <col min="1033" max="1276" width="11.42578125" style="21"/>
    <col min="1277" max="1277" width="18.28515625" style="21" customWidth="1"/>
    <col min="1278" max="1278" width="23.85546875" style="21" customWidth="1"/>
    <col min="1279" max="1279" width="26.5703125" style="21" customWidth="1"/>
    <col min="1280" max="1283" width="11.42578125" style="21"/>
    <col min="1284" max="1284" width="11.28515625" style="21" customWidth="1"/>
    <col min="1285" max="1285" width="9" style="21" customWidth="1"/>
    <col min="1286" max="1286" width="8.85546875" style="21" customWidth="1"/>
    <col min="1287" max="1287" width="9.7109375" style="21" customWidth="1"/>
    <col min="1288" max="1288" width="9.42578125" style="21" customWidth="1"/>
    <col min="1289" max="1532" width="11.42578125" style="21"/>
    <col min="1533" max="1533" width="18.28515625" style="21" customWidth="1"/>
    <col min="1534" max="1534" width="23.85546875" style="21" customWidth="1"/>
    <col min="1535" max="1535" width="26.5703125" style="21" customWidth="1"/>
    <col min="1536" max="1539" width="11.42578125" style="21"/>
    <col min="1540" max="1540" width="11.28515625" style="21" customWidth="1"/>
    <col min="1541" max="1541" width="9" style="21" customWidth="1"/>
    <col min="1542" max="1542" width="8.85546875" style="21" customWidth="1"/>
    <col min="1543" max="1543" width="9.7109375" style="21" customWidth="1"/>
    <col min="1544" max="1544" width="9.42578125" style="21" customWidth="1"/>
    <col min="1545" max="1788" width="11.42578125" style="21"/>
    <col min="1789" max="1789" width="18.28515625" style="21" customWidth="1"/>
    <col min="1790" max="1790" width="23.85546875" style="21" customWidth="1"/>
    <col min="1791" max="1791" width="26.5703125" style="21" customWidth="1"/>
    <col min="1792" max="1795" width="11.42578125" style="21"/>
    <col min="1796" max="1796" width="11.28515625" style="21" customWidth="1"/>
    <col min="1797" max="1797" width="9" style="21" customWidth="1"/>
    <col min="1798" max="1798" width="8.85546875" style="21" customWidth="1"/>
    <col min="1799" max="1799" width="9.7109375" style="21" customWidth="1"/>
    <col min="1800" max="1800" width="9.42578125" style="21" customWidth="1"/>
    <col min="1801" max="2044" width="11.42578125" style="21"/>
    <col min="2045" max="2045" width="18.28515625" style="21" customWidth="1"/>
    <col min="2046" max="2046" width="23.85546875" style="21" customWidth="1"/>
    <col min="2047" max="2047" width="26.5703125" style="21" customWidth="1"/>
    <col min="2048" max="2051" width="11.42578125" style="21"/>
    <col min="2052" max="2052" width="11.28515625" style="21" customWidth="1"/>
    <col min="2053" max="2053" width="9" style="21" customWidth="1"/>
    <col min="2054" max="2054" width="8.85546875" style="21" customWidth="1"/>
    <col min="2055" max="2055" width="9.7109375" style="21" customWidth="1"/>
    <col min="2056" max="2056" width="9.42578125" style="21" customWidth="1"/>
    <col min="2057" max="2300" width="11.42578125" style="21"/>
    <col min="2301" max="2301" width="18.28515625" style="21" customWidth="1"/>
    <col min="2302" max="2302" width="23.85546875" style="21" customWidth="1"/>
    <col min="2303" max="2303" width="26.5703125" style="21" customWidth="1"/>
    <col min="2304" max="2307" width="11.42578125" style="21"/>
    <col min="2308" max="2308" width="11.28515625" style="21" customWidth="1"/>
    <col min="2309" max="2309" width="9" style="21" customWidth="1"/>
    <col min="2310" max="2310" width="8.85546875" style="21" customWidth="1"/>
    <col min="2311" max="2311" width="9.7109375" style="21" customWidth="1"/>
    <col min="2312" max="2312" width="9.42578125" style="21" customWidth="1"/>
    <col min="2313" max="2556" width="11.42578125" style="21"/>
    <col min="2557" max="2557" width="18.28515625" style="21" customWidth="1"/>
    <col min="2558" max="2558" width="23.85546875" style="21" customWidth="1"/>
    <col min="2559" max="2559" width="26.5703125" style="21" customWidth="1"/>
    <col min="2560" max="2563" width="11.42578125" style="21"/>
    <col min="2564" max="2564" width="11.28515625" style="21" customWidth="1"/>
    <col min="2565" max="2565" width="9" style="21" customWidth="1"/>
    <col min="2566" max="2566" width="8.85546875" style="21" customWidth="1"/>
    <col min="2567" max="2567" width="9.7109375" style="21" customWidth="1"/>
    <col min="2568" max="2568" width="9.42578125" style="21" customWidth="1"/>
    <col min="2569" max="2812" width="11.42578125" style="21"/>
    <col min="2813" max="2813" width="18.28515625" style="21" customWidth="1"/>
    <col min="2814" max="2814" width="23.85546875" style="21" customWidth="1"/>
    <col min="2815" max="2815" width="26.5703125" style="21" customWidth="1"/>
    <col min="2816" max="2819" width="11.42578125" style="21"/>
    <col min="2820" max="2820" width="11.28515625" style="21" customWidth="1"/>
    <col min="2821" max="2821" width="9" style="21" customWidth="1"/>
    <col min="2822" max="2822" width="8.85546875" style="21" customWidth="1"/>
    <col min="2823" max="2823" width="9.7109375" style="21" customWidth="1"/>
    <col min="2824" max="2824" width="9.42578125" style="21" customWidth="1"/>
    <col min="2825" max="3068" width="11.42578125" style="21"/>
    <col min="3069" max="3069" width="18.28515625" style="21" customWidth="1"/>
    <col min="3070" max="3070" width="23.85546875" style="21" customWidth="1"/>
    <col min="3071" max="3071" width="26.5703125" style="21" customWidth="1"/>
    <col min="3072" max="3075" width="11.42578125" style="21"/>
    <col min="3076" max="3076" width="11.28515625" style="21" customWidth="1"/>
    <col min="3077" max="3077" width="9" style="21" customWidth="1"/>
    <col min="3078" max="3078" width="8.85546875" style="21" customWidth="1"/>
    <col min="3079" max="3079" width="9.7109375" style="21" customWidth="1"/>
    <col min="3080" max="3080" width="9.42578125" style="21" customWidth="1"/>
    <col min="3081" max="3324" width="11.42578125" style="21"/>
    <col min="3325" max="3325" width="18.28515625" style="21" customWidth="1"/>
    <col min="3326" max="3326" width="23.85546875" style="21" customWidth="1"/>
    <col min="3327" max="3327" width="26.5703125" style="21" customWidth="1"/>
    <col min="3328" max="3331" width="11.42578125" style="21"/>
    <col min="3332" max="3332" width="11.28515625" style="21" customWidth="1"/>
    <col min="3333" max="3333" width="9" style="21" customWidth="1"/>
    <col min="3334" max="3334" width="8.85546875" style="21" customWidth="1"/>
    <col min="3335" max="3335" width="9.7109375" style="21" customWidth="1"/>
    <col min="3336" max="3336" width="9.42578125" style="21" customWidth="1"/>
    <col min="3337" max="3580" width="11.42578125" style="21"/>
    <col min="3581" max="3581" width="18.28515625" style="21" customWidth="1"/>
    <col min="3582" max="3582" width="23.85546875" style="21" customWidth="1"/>
    <col min="3583" max="3583" width="26.5703125" style="21" customWidth="1"/>
    <col min="3584" max="3587" width="11.42578125" style="21"/>
    <col min="3588" max="3588" width="11.28515625" style="21" customWidth="1"/>
    <col min="3589" max="3589" width="9" style="21" customWidth="1"/>
    <col min="3590" max="3590" width="8.85546875" style="21" customWidth="1"/>
    <col min="3591" max="3591" width="9.7109375" style="21" customWidth="1"/>
    <col min="3592" max="3592" width="9.42578125" style="21" customWidth="1"/>
    <col min="3593" max="3836" width="11.42578125" style="21"/>
    <col min="3837" max="3837" width="18.28515625" style="21" customWidth="1"/>
    <col min="3838" max="3838" width="23.85546875" style="21" customWidth="1"/>
    <col min="3839" max="3839" width="26.5703125" style="21" customWidth="1"/>
    <col min="3840" max="3843" width="11.42578125" style="21"/>
    <col min="3844" max="3844" width="11.28515625" style="21" customWidth="1"/>
    <col min="3845" max="3845" width="9" style="21" customWidth="1"/>
    <col min="3846" max="3846" width="8.85546875" style="21" customWidth="1"/>
    <col min="3847" max="3847" width="9.7109375" style="21" customWidth="1"/>
    <col min="3848" max="3848" width="9.42578125" style="21" customWidth="1"/>
    <col min="3849" max="4092" width="11.42578125" style="21"/>
    <col min="4093" max="4093" width="18.28515625" style="21" customWidth="1"/>
    <col min="4094" max="4094" width="23.85546875" style="21" customWidth="1"/>
    <col min="4095" max="4095" width="26.5703125" style="21" customWidth="1"/>
    <col min="4096" max="4099" width="11.42578125" style="21"/>
    <col min="4100" max="4100" width="11.28515625" style="21" customWidth="1"/>
    <col min="4101" max="4101" width="9" style="21" customWidth="1"/>
    <col min="4102" max="4102" width="8.85546875" style="21" customWidth="1"/>
    <col min="4103" max="4103" width="9.7109375" style="21" customWidth="1"/>
    <col min="4104" max="4104" width="9.42578125" style="21" customWidth="1"/>
    <col min="4105" max="4348" width="11.42578125" style="21"/>
    <col min="4349" max="4349" width="18.28515625" style="21" customWidth="1"/>
    <col min="4350" max="4350" width="23.85546875" style="21" customWidth="1"/>
    <col min="4351" max="4351" width="26.5703125" style="21" customWidth="1"/>
    <col min="4352" max="4355" width="11.42578125" style="21"/>
    <col min="4356" max="4356" width="11.28515625" style="21" customWidth="1"/>
    <col min="4357" max="4357" width="9" style="21" customWidth="1"/>
    <col min="4358" max="4358" width="8.85546875" style="21" customWidth="1"/>
    <col min="4359" max="4359" width="9.7109375" style="21" customWidth="1"/>
    <col min="4360" max="4360" width="9.42578125" style="21" customWidth="1"/>
    <col min="4361" max="4604" width="11.42578125" style="21"/>
    <col min="4605" max="4605" width="18.28515625" style="21" customWidth="1"/>
    <col min="4606" max="4606" width="23.85546875" style="21" customWidth="1"/>
    <col min="4607" max="4607" width="26.5703125" style="21" customWidth="1"/>
    <col min="4608" max="4611" width="11.42578125" style="21"/>
    <col min="4612" max="4612" width="11.28515625" style="21" customWidth="1"/>
    <col min="4613" max="4613" width="9" style="21" customWidth="1"/>
    <col min="4614" max="4614" width="8.85546875" style="21" customWidth="1"/>
    <col min="4615" max="4615" width="9.7109375" style="21" customWidth="1"/>
    <col min="4616" max="4616" width="9.42578125" style="21" customWidth="1"/>
    <col min="4617" max="4860" width="11.42578125" style="21"/>
    <col min="4861" max="4861" width="18.28515625" style="21" customWidth="1"/>
    <col min="4862" max="4862" width="23.85546875" style="21" customWidth="1"/>
    <col min="4863" max="4863" width="26.5703125" style="21" customWidth="1"/>
    <col min="4864" max="4867" width="11.42578125" style="21"/>
    <col min="4868" max="4868" width="11.28515625" style="21" customWidth="1"/>
    <col min="4869" max="4869" width="9" style="21" customWidth="1"/>
    <col min="4870" max="4870" width="8.85546875" style="21" customWidth="1"/>
    <col min="4871" max="4871" width="9.7109375" style="21" customWidth="1"/>
    <col min="4872" max="4872" width="9.42578125" style="21" customWidth="1"/>
    <col min="4873" max="5116" width="11.42578125" style="21"/>
    <col min="5117" max="5117" width="18.28515625" style="21" customWidth="1"/>
    <col min="5118" max="5118" width="23.85546875" style="21" customWidth="1"/>
    <col min="5119" max="5119" width="26.5703125" style="21" customWidth="1"/>
    <col min="5120" max="5123" width="11.42578125" style="21"/>
    <col min="5124" max="5124" width="11.28515625" style="21" customWidth="1"/>
    <col min="5125" max="5125" width="9" style="21" customWidth="1"/>
    <col min="5126" max="5126" width="8.85546875" style="21" customWidth="1"/>
    <col min="5127" max="5127" width="9.7109375" style="21" customWidth="1"/>
    <col min="5128" max="5128" width="9.42578125" style="21" customWidth="1"/>
    <col min="5129" max="5372" width="11.42578125" style="21"/>
    <col min="5373" max="5373" width="18.28515625" style="21" customWidth="1"/>
    <col min="5374" max="5374" width="23.85546875" style="21" customWidth="1"/>
    <col min="5375" max="5375" width="26.5703125" style="21" customWidth="1"/>
    <col min="5376" max="5379" width="11.42578125" style="21"/>
    <col min="5380" max="5380" width="11.28515625" style="21" customWidth="1"/>
    <col min="5381" max="5381" width="9" style="21" customWidth="1"/>
    <col min="5382" max="5382" width="8.85546875" style="21" customWidth="1"/>
    <col min="5383" max="5383" width="9.7109375" style="21" customWidth="1"/>
    <col min="5384" max="5384" width="9.42578125" style="21" customWidth="1"/>
    <col min="5385" max="5628" width="11.42578125" style="21"/>
    <col min="5629" max="5629" width="18.28515625" style="21" customWidth="1"/>
    <col min="5630" max="5630" width="23.85546875" style="21" customWidth="1"/>
    <col min="5631" max="5631" width="26.5703125" style="21" customWidth="1"/>
    <col min="5632" max="5635" width="11.42578125" style="21"/>
    <col min="5636" max="5636" width="11.28515625" style="21" customWidth="1"/>
    <col min="5637" max="5637" width="9" style="21" customWidth="1"/>
    <col min="5638" max="5638" width="8.85546875" style="21" customWidth="1"/>
    <col min="5639" max="5639" width="9.7109375" style="21" customWidth="1"/>
    <col min="5640" max="5640" width="9.42578125" style="21" customWidth="1"/>
    <col min="5641" max="5884" width="11.42578125" style="21"/>
    <col min="5885" max="5885" width="18.28515625" style="21" customWidth="1"/>
    <col min="5886" max="5886" width="23.85546875" style="21" customWidth="1"/>
    <col min="5887" max="5887" width="26.5703125" style="21" customWidth="1"/>
    <col min="5888" max="5891" width="11.42578125" style="21"/>
    <col min="5892" max="5892" width="11.28515625" style="21" customWidth="1"/>
    <col min="5893" max="5893" width="9" style="21" customWidth="1"/>
    <col min="5894" max="5894" width="8.85546875" style="21" customWidth="1"/>
    <col min="5895" max="5895" width="9.7109375" style="21" customWidth="1"/>
    <col min="5896" max="5896" width="9.42578125" style="21" customWidth="1"/>
    <col min="5897" max="6140" width="11.42578125" style="21"/>
    <col min="6141" max="6141" width="18.28515625" style="21" customWidth="1"/>
    <col min="6142" max="6142" width="23.85546875" style="21" customWidth="1"/>
    <col min="6143" max="6143" width="26.5703125" style="21" customWidth="1"/>
    <col min="6144" max="6147" width="11.42578125" style="21"/>
    <col min="6148" max="6148" width="11.28515625" style="21" customWidth="1"/>
    <col min="6149" max="6149" width="9" style="21" customWidth="1"/>
    <col min="6150" max="6150" width="8.85546875" style="21" customWidth="1"/>
    <col min="6151" max="6151" width="9.7109375" style="21" customWidth="1"/>
    <col min="6152" max="6152" width="9.42578125" style="21" customWidth="1"/>
    <col min="6153" max="6396" width="11.42578125" style="21"/>
    <col min="6397" max="6397" width="18.28515625" style="21" customWidth="1"/>
    <col min="6398" max="6398" width="23.85546875" style="21" customWidth="1"/>
    <col min="6399" max="6399" width="26.5703125" style="21" customWidth="1"/>
    <col min="6400" max="6403" width="11.42578125" style="21"/>
    <col min="6404" max="6404" width="11.28515625" style="21" customWidth="1"/>
    <col min="6405" max="6405" width="9" style="21" customWidth="1"/>
    <col min="6406" max="6406" width="8.85546875" style="21" customWidth="1"/>
    <col min="6407" max="6407" width="9.7109375" style="21" customWidth="1"/>
    <col min="6408" max="6408" width="9.42578125" style="21" customWidth="1"/>
    <col min="6409" max="6652" width="11.42578125" style="21"/>
    <col min="6653" max="6653" width="18.28515625" style="21" customWidth="1"/>
    <col min="6654" max="6654" width="23.85546875" style="21" customWidth="1"/>
    <col min="6655" max="6655" width="26.5703125" style="21" customWidth="1"/>
    <col min="6656" max="6659" width="11.42578125" style="21"/>
    <col min="6660" max="6660" width="11.28515625" style="21" customWidth="1"/>
    <col min="6661" max="6661" width="9" style="21" customWidth="1"/>
    <col min="6662" max="6662" width="8.85546875" style="21" customWidth="1"/>
    <col min="6663" max="6663" width="9.7109375" style="21" customWidth="1"/>
    <col min="6664" max="6664" width="9.42578125" style="21" customWidth="1"/>
    <col min="6665" max="6908" width="11.42578125" style="21"/>
    <col min="6909" max="6909" width="18.28515625" style="21" customWidth="1"/>
    <col min="6910" max="6910" width="23.85546875" style="21" customWidth="1"/>
    <col min="6911" max="6911" width="26.5703125" style="21" customWidth="1"/>
    <col min="6912" max="6915" width="11.42578125" style="21"/>
    <col min="6916" max="6916" width="11.28515625" style="21" customWidth="1"/>
    <col min="6917" max="6917" width="9" style="21" customWidth="1"/>
    <col min="6918" max="6918" width="8.85546875" style="21" customWidth="1"/>
    <col min="6919" max="6919" width="9.7109375" style="21" customWidth="1"/>
    <col min="6920" max="6920" width="9.42578125" style="21" customWidth="1"/>
    <col min="6921" max="7164" width="11.42578125" style="21"/>
    <col min="7165" max="7165" width="18.28515625" style="21" customWidth="1"/>
    <col min="7166" max="7166" width="23.85546875" style="21" customWidth="1"/>
    <col min="7167" max="7167" width="26.5703125" style="21" customWidth="1"/>
    <col min="7168" max="7171" width="11.42578125" style="21"/>
    <col min="7172" max="7172" width="11.28515625" style="21" customWidth="1"/>
    <col min="7173" max="7173" width="9" style="21" customWidth="1"/>
    <col min="7174" max="7174" width="8.85546875" style="21" customWidth="1"/>
    <col min="7175" max="7175" width="9.7109375" style="21" customWidth="1"/>
    <col min="7176" max="7176" width="9.42578125" style="21" customWidth="1"/>
    <col min="7177" max="7420" width="11.42578125" style="21"/>
    <col min="7421" max="7421" width="18.28515625" style="21" customWidth="1"/>
    <col min="7422" max="7422" width="23.85546875" style="21" customWidth="1"/>
    <col min="7423" max="7423" width="26.5703125" style="21" customWidth="1"/>
    <col min="7424" max="7427" width="11.42578125" style="21"/>
    <col min="7428" max="7428" width="11.28515625" style="21" customWidth="1"/>
    <col min="7429" max="7429" width="9" style="21" customWidth="1"/>
    <col min="7430" max="7430" width="8.85546875" style="21" customWidth="1"/>
    <col min="7431" max="7431" width="9.7109375" style="21" customWidth="1"/>
    <col min="7432" max="7432" width="9.42578125" style="21" customWidth="1"/>
    <col min="7433" max="7676" width="11.42578125" style="21"/>
    <col min="7677" max="7677" width="18.28515625" style="21" customWidth="1"/>
    <col min="7678" max="7678" width="23.85546875" style="21" customWidth="1"/>
    <col min="7679" max="7679" width="26.5703125" style="21" customWidth="1"/>
    <col min="7680" max="7683" width="11.42578125" style="21"/>
    <col min="7684" max="7684" width="11.28515625" style="21" customWidth="1"/>
    <col min="7685" max="7685" width="9" style="21" customWidth="1"/>
    <col min="7686" max="7686" width="8.85546875" style="21" customWidth="1"/>
    <col min="7687" max="7687" width="9.7109375" style="21" customWidth="1"/>
    <col min="7688" max="7688" width="9.42578125" style="21" customWidth="1"/>
    <col min="7689" max="7932" width="11.42578125" style="21"/>
    <col min="7933" max="7933" width="18.28515625" style="21" customWidth="1"/>
    <col min="7934" max="7934" width="23.85546875" style="21" customWidth="1"/>
    <col min="7935" max="7935" width="26.5703125" style="21" customWidth="1"/>
    <col min="7936" max="7939" width="11.42578125" style="21"/>
    <col min="7940" max="7940" width="11.28515625" style="21" customWidth="1"/>
    <col min="7941" max="7941" width="9" style="21" customWidth="1"/>
    <col min="7942" max="7942" width="8.85546875" style="21" customWidth="1"/>
    <col min="7943" max="7943" width="9.7109375" style="21" customWidth="1"/>
    <col min="7944" max="7944" width="9.42578125" style="21" customWidth="1"/>
    <col min="7945" max="8188" width="11.42578125" style="21"/>
    <col min="8189" max="8189" width="18.28515625" style="21" customWidth="1"/>
    <col min="8190" max="8190" width="23.85546875" style="21" customWidth="1"/>
    <col min="8191" max="8191" width="26.5703125" style="21" customWidth="1"/>
    <col min="8192" max="8195" width="11.42578125" style="21"/>
    <col min="8196" max="8196" width="11.28515625" style="21" customWidth="1"/>
    <col min="8197" max="8197" width="9" style="21" customWidth="1"/>
    <col min="8198" max="8198" width="8.85546875" style="21" customWidth="1"/>
    <col min="8199" max="8199" width="9.7109375" style="21" customWidth="1"/>
    <col min="8200" max="8200" width="9.42578125" style="21" customWidth="1"/>
    <col min="8201" max="8444" width="11.42578125" style="21"/>
    <col min="8445" max="8445" width="18.28515625" style="21" customWidth="1"/>
    <col min="8446" max="8446" width="23.85546875" style="21" customWidth="1"/>
    <col min="8447" max="8447" width="26.5703125" style="21" customWidth="1"/>
    <col min="8448" max="8451" width="11.42578125" style="21"/>
    <col min="8452" max="8452" width="11.28515625" style="21" customWidth="1"/>
    <col min="8453" max="8453" width="9" style="21" customWidth="1"/>
    <col min="8454" max="8454" width="8.85546875" style="21" customWidth="1"/>
    <col min="8455" max="8455" width="9.7109375" style="21" customWidth="1"/>
    <col min="8456" max="8456" width="9.42578125" style="21" customWidth="1"/>
    <col min="8457" max="8700" width="11.42578125" style="21"/>
    <col min="8701" max="8701" width="18.28515625" style="21" customWidth="1"/>
    <col min="8702" max="8702" width="23.85546875" style="21" customWidth="1"/>
    <col min="8703" max="8703" width="26.5703125" style="21" customWidth="1"/>
    <col min="8704" max="8707" width="11.42578125" style="21"/>
    <col min="8708" max="8708" width="11.28515625" style="21" customWidth="1"/>
    <col min="8709" max="8709" width="9" style="21" customWidth="1"/>
    <col min="8710" max="8710" width="8.85546875" style="21" customWidth="1"/>
    <col min="8711" max="8711" width="9.7109375" style="21" customWidth="1"/>
    <col min="8712" max="8712" width="9.42578125" style="21" customWidth="1"/>
    <col min="8713" max="8956" width="11.42578125" style="21"/>
    <col min="8957" max="8957" width="18.28515625" style="21" customWidth="1"/>
    <col min="8958" max="8958" width="23.85546875" style="21" customWidth="1"/>
    <col min="8959" max="8959" width="26.5703125" style="21" customWidth="1"/>
    <col min="8960" max="8963" width="11.42578125" style="21"/>
    <col min="8964" max="8964" width="11.28515625" style="21" customWidth="1"/>
    <col min="8965" max="8965" width="9" style="21" customWidth="1"/>
    <col min="8966" max="8966" width="8.85546875" style="21" customWidth="1"/>
    <col min="8967" max="8967" width="9.7109375" style="21" customWidth="1"/>
    <col min="8968" max="8968" width="9.42578125" style="21" customWidth="1"/>
    <col min="8969" max="9212" width="11.42578125" style="21"/>
    <col min="9213" max="9213" width="18.28515625" style="21" customWidth="1"/>
    <col min="9214" max="9214" width="23.85546875" style="21" customWidth="1"/>
    <col min="9215" max="9215" width="26.5703125" style="21" customWidth="1"/>
    <col min="9216" max="9219" width="11.42578125" style="21"/>
    <col min="9220" max="9220" width="11.28515625" style="21" customWidth="1"/>
    <col min="9221" max="9221" width="9" style="21" customWidth="1"/>
    <col min="9222" max="9222" width="8.85546875" style="21" customWidth="1"/>
    <col min="9223" max="9223" width="9.7109375" style="21" customWidth="1"/>
    <col min="9224" max="9224" width="9.42578125" style="21" customWidth="1"/>
    <col min="9225" max="9468" width="11.42578125" style="21"/>
    <col min="9469" max="9469" width="18.28515625" style="21" customWidth="1"/>
    <col min="9470" max="9470" width="23.85546875" style="21" customWidth="1"/>
    <col min="9471" max="9471" width="26.5703125" style="21" customWidth="1"/>
    <col min="9472" max="9475" width="11.42578125" style="21"/>
    <col min="9476" max="9476" width="11.28515625" style="21" customWidth="1"/>
    <col min="9477" max="9477" width="9" style="21" customWidth="1"/>
    <col min="9478" max="9478" width="8.85546875" style="21" customWidth="1"/>
    <col min="9479" max="9479" width="9.7109375" style="21" customWidth="1"/>
    <col min="9480" max="9480" width="9.42578125" style="21" customWidth="1"/>
    <col min="9481" max="9724" width="11.42578125" style="21"/>
    <col min="9725" max="9725" width="18.28515625" style="21" customWidth="1"/>
    <col min="9726" max="9726" width="23.85546875" style="21" customWidth="1"/>
    <col min="9727" max="9727" width="26.5703125" style="21" customWidth="1"/>
    <col min="9728" max="9731" width="11.42578125" style="21"/>
    <col min="9732" max="9732" width="11.28515625" style="21" customWidth="1"/>
    <col min="9733" max="9733" width="9" style="21" customWidth="1"/>
    <col min="9734" max="9734" width="8.85546875" style="21" customWidth="1"/>
    <col min="9735" max="9735" width="9.7109375" style="21" customWidth="1"/>
    <col min="9736" max="9736" width="9.42578125" style="21" customWidth="1"/>
    <col min="9737" max="9980" width="11.42578125" style="21"/>
    <col min="9981" max="9981" width="18.28515625" style="21" customWidth="1"/>
    <col min="9982" max="9982" width="23.85546875" style="21" customWidth="1"/>
    <col min="9983" max="9983" width="26.5703125" style="21" customWidth="1"/>
    <col min="9984" max="9987" width="11.42578125" style="21"/>
    <col min="9988" max="9988" width="11.28515625" style="21" customWidth="1"/>
    <col min="9989" max="9989" width="9" style="21" customWidth="1"/>
    <col min="9990" max="9990" width="8.85546875" style="21" customWidth="1"/>
    <col min="9991" max="9991" width="9.7109375" style="21" customWidth="1"/>
    <col min="9992" max="9992" width="9.42578125" style="21" customWidth="1"/>
    <col min="9993" max="10236" width="11.42578125" style="21"/>
    <col min="10237" max="10237" width="18.28515625" style="21" customWidth="1"/>
    <col min="10238" max="10238" width="23.85546875" style="21" customWidth="1"/>
    <col min="10239" max="10239" width="26.5703125" style="21" customWidth="1"/>
    <col min="10240" max="10243" width="11.42578125" style="21"/>
    <col min="10244" max="10244" width="11.28515625" style="21" customWidth="1"/>
    <col min="10245" max="10245" width="9" style="21" customWidth="1"/>
    <col min="10246" max="10246" width="8.85546875" style="21" customWidth="1"/>
    <col min="10247" max="10247" width="9.7109375" style="21" customWidth="1"/>
    <col min="10248" max="10248" width="9.42578125" style="21" customWidth="1"/>
    <col min="10249" max="10492" width="11.42578125" style="21"/>
    <col min="10493" max="10493" width="18.28515625" style="21" customWidth="1"/>
    <col min="10494" max="10494" width="23.85546875" style="21" customWidth="1"/>
    <col min="10495" max="10495" width="26.5703125" style="21" customWidth="1"/>
    <col min="10496" max="10499" width="11.42578125" style="21"/>
    <col min="10500" max="10500" width="11.28515625" style="21" customWidth="1"/>
    <col min="10501" max="10501" width="9" style="21" customWidth="1"/>
    <col min="10502" max="10502" width="8.85546875" style="21" customWidth="1"/>
    <col min="10503" max="10503" width="9.7109375" style="21" customWidth="1"/>
    <col min="10504" max="10504" width="9.42578125" style="21" customWidth="1"/>
    <col min="10505" max="10748" width="11.42578125" style="21"/>
    <col min="10749" max="10749" width="18.28515625" style="21" customWidth="1"/>
    <col min="10750" max="10750" width="23.85546875" style="21" customWidth="1"/>
    <col min="10751" max="10751" width="26.5703125" style="21" customWidth="1"/>
    <col min="10752" max="10755" width="11.42578125" style="21"/>
    <col min="10756" max="10756" width="11.28515625" style="21" customWidth="1"/>
    <col min="10757" max="10757" width="9" style="21" customWidth="1"/>
    <col min="10758" max="10758" width="8.85546875" style="21" customWidth="1"/>
    <col min="10759" max="10759" width="9.7109375" style="21" customWidth="1"/>
    <col min="10760" max="10760" width="9.42578125" style="21" customWidth="1"/>
    <col min="10761" max="11004" width="11.42578125" style="21"/>
    <col min="11005" max="11005" width="18.28515625" style="21" customWidth="1"/>
    <col min="11006" max="11006" width="23.85546875" style="21" customWidth="1"/>
    <col min="11007" max="11007" width="26.5703125" style="21" customWidth="1"/>
    <col min="11008" max="11011" width="11.42578125" style="21"/>
    <col min="11012" max="11012" width="11.28515625" style="21" customWidth="1"/>
    <col min="11013" max="11013" width="9" style="21" customWidth="1"/>
    <col min="11014" max="11014" width="8.85546875" style="21" customWidth="1"/>
    <col min="11015" max="11015" width="9.7109375" style="21" customWidth="1"/>
    <col min="11016" max="11016" width="9.42578125" style="21" customWidth="1"/>
    <col min="11017" max="11260" width="11.42578125" style="21"/>
    <col min="11261" max="11261" width="18.28515625" style="21" customWidth="1"/>
    <col min="11262" max="11262" width="23.85546875" style="21" customWidth="1"/>
    <col min="11263" max="11263" width="26.5703125" style="21" customWidth="1"/>
    <col min="11264" max="11267" width="11.42578125" style="21"/>
    <col min="11268" max="11268" width="11.28515625" style="21" customWidth="1"/>
    <col min="11269" max="11269" width="9" style="21" customWidth="1"/>
    <col min="11270" max="11270" width="8.85546875" style="21" customWidth="1"/>
    <col min="11271" max="11271" width="9.7109375" style="21" customWidth="1"/>
    <col min="11272" max="11272" width="9.42578125" style="21" customWidth="1"/>
    <col min="11273" max="11516" width="11.42578125" style="21"/>
    <col min="11517" max="11517" width="18.28515625" style="21" customWidth="1"/>
    <col min="11518" max="11518" width="23.85546875" style="21" customWidth="1"/>
    <col min="11519" max="11519" width="26.5703125" style="21" customWidth="1"/>
    <col min="11520" max="11523" width="11.42578125" style="21"/>
    <col min="11524" max="11524" width="11.28515625" style="21" customWidth="1"/>
    <col min="11525" max="11525" width="9" style="21" customWidth="1"/>
    <col min="11526" max="11526" width="8.85546875" style="21" customWidth="1"/>
    <col min="11527" max="11527" width="9.7109375" style="21" customWidth="1"/>
    <col min="11528" max="11528" width="9.42578125" style="21" customWidth="1"/>
    <col min="11529" max="11772" width="11.42578125" style="21"/>
    <col min="11773" max="11773" width="18.28515625" style="21" customWidth="1"/>
    <col min="11774" max="11774" width="23.85546875" style="21" customWidth="1"/>
    <col min="11775" max="11775" width="26.5703125" style="21" customWidth="1"/>
    <col min="11776" max="11779" width="11.42578125" style="21"/>
    <col min="11780" max="11780" width="11.28515625" style="21" customWidth="1"/>
    <col min="11781" max="11781" width="9" style="21" customWidth="1"/>
    <col min="11782" max="11782" width="8.85546875" style="21" customWidth="1"/>
    <col min="11783" max="11783" width="9.7109375" style="21" customWidth="1"/>
    <col min="11784" max="11784" width="9.42578125" style="21" customWidth="1"/>
    <col min="11785" max="12028" width="11.42578125" style="21"/>
    <col min="12029" max="12029" width="18.28515625" style="21" customWidth="1"/>
    <col min="12030" max="12030" width="23.85546875" style="21" customWidth="1"/>
    <col min="12031" max="12031" width="26.5703125" style="21" customWidth="1"/>
    <col min="12032" max="12035" width="11.42578125" style="21"/>
    <col min="12036" max="12036" width="11.28515625" style="21" customWidth="1"/>
    <col min="12037" max="12037" width="9" style="21" customWidth="1"/>
    <col min="12038" max="12038" width="8.85546875" style="21" customWidth="1"/>
    <col min="12039" max="12039" width="9.7109375" style="21" customWidth="1"/>
    <col min="12040" max="12040" width="9.42578125" style="21" customWidth="1"/>
    <col min="12041" max="12284" width="11.42578125" style="21"/>
    <col min="12285" max="12285" width="18.28515625" style="21" customWidth="1"/>
    <col min="12286" max="12286" width="23.85546875" style="21" customWidth="1"/>
    <col min="12287" max="12287" width="26.5703125" style="21" customWidth="1"/>
    <col min="12288" max="12291" width="11.42578125" style="21"/>
    <col min="12292" max="12292" width="11.28515625" style="21" customWidth="1"/>
    <col min="12293" max="12293" width="9" style="21" customWidth="1"/>
    <col min="12294" max="12294" width="8.85546875" style="21" customWidth="1"/>
    <col min="12295" max="12295" width="9.7109375" style="21" customWidth="1"/>
    <col min="12296" max="12296" width="9.42578125" style="21" customWidth="1"/>
    <col min="12297" max="12540" width="11.42578125" style="21"/>
    <col min="12541" max="12541" width="18.28515625" style="21" customWidth="1"/>
    <col min="12542" max="12542" width="23.85546875" style="21" customWidth="1"/>
    <col min="12543" max="12543" width="26.5703125" style="21" customWidth="1"/>
    <col min="12544" max="12547" width="11.42578125" style="21"/>
    <col min="12548" max="12548" width="11.28515625" style="21" customWidth="1"/>
    <col min="12549" max="12549" width="9" style="21" customWidth="1"/>
    <col min="12550" max="12550" width="8.85546875" style="21" customWidth="1"/>
    <col min="12551" max="12551" width="9.7109375" style="21" customWidth="1"/>
    <col min="12552" max="12552" width="9.42578125" style="21" customWidth="1"/>
    <col min="12553" max="12796" width="11.42578125" style="21"/>
    <col min="12797" max="12797" width="18.28515625" style="21" customWidth="1"/>
    <col min="12798" max="12798" width="23.85546875" style="21" customWidth="1"/>
    <col min="12799" max="12799" width="26.5703125" style="21" customWidth="1"/>
    <col min="12800" max="12803" width="11.42578125" style="21"/>
    <col min="12804" max="12804" width="11.28515625" style="21" customWidth="1"/>
    <col min="12805" max="12805" width="9" style="21" customWidth="1"/>
    <col min="12806" max="12806" width="8.85546875" style="21" customWidth="1"/>
    <col min="12807" max="12807" width="9.7109375" style="21" customWidth="1"/>
    <col min="12808" max="12808" width="9.42578125" style="21" customWidth="1"/>
    <col min="12809" max="13052" width="11.42578125" style="21"/>
    <col min="13053" max="13053" width="18.28515625" style="21" customWidth="1"/>
    <col min="13054" max="13054" width="23.85546875" style="21" customWidth="1"/>
    <col min="13055" max="13055" width="26.5703125" style="21" customWidth="1"/>
    <col min="13056" max="13059" width="11.42578125" style="21"/>
    <col min="13060" max="13060" width="11.28515625" style="21" customWidth="1"/>
    <col min="13061" max="13061" width="9" style="21" customWidth="1"/>
    <col min="13062" max="13062" width="8.85546875" style="21" customWidth="1"/>
    <col min="13063" max="13063" width="9.7109375" style="21" customWidth="1"/>
    <col min="13064" max="13064" width="9.42578125" style="21" customWidth="1"/>
    <col min="13065" max="13308" width="11.42578125" style="21"/>
    <col min="13309" max="13309" width="18.28515625" style="21" customWidth="1"/>
    <col min="13310" max="13310" width="23.85546875" style="21" customWidth="1"/>
    <col min="13311" max="13311" width="26.5703125" style="21" customWidth="1"/>
    <col min="13312" max="13315" width="11.42578125" style="21"/>
    <col min="13316" max="13316" width="11.28515625" style="21" customWidth="1"/>
    <col min="13317" max="13317" width="9" style="21" customWidth="1"/>
    <col min="13318" max="13318" width="8.85546875" style="21" customWidth="1"/>
    <col min="13319" max="13319" width="9.7109375" style="21" customWidth="1"/>
    <col min="13320" max="13320" width="9.42578125" style="21" customWidth="1"/>
    <col min="13321" max="13564" width="11.42578125" style="21"/>
    <col min="13565" max="13565" width="18.28515625" style="21" customWidth="1"/>
    <col min="13566" max="13566" width="23.85546875" style="21" customWidth="1"/>
    <col min="13567" max="13567" width="26.5703125" style="21" customWidth="1"/>
    <col min="13568" max="13571" width="11.42578125" style="21"/>
    <col min="13572" max="13572" width="11.28515625" style="21" customWidth="1"/>
    <col min="13573" max="13573" width="9" style="21" customWidth="1"/>
    <col min="13574" max="13574" width="8.85546875" style="21" customWidth="1"/>
    <col min="13575" max="13575" width="9.7109375" style="21" customWidth="1"/>
    <col min="13576" max="13576" width="9.42578125" style="21" customWidth="1"/>
    <col min="13577" max="13820" width="11.42578125" style="21"/>
    <col min="13821" max="13821" width="18.28515625" style="21" customWidth="1"/>
    <col min="13822" max="13822" width="23.85546875" style="21" customWidth="1"/>
    <col min="13823" max="13823" width="26.5703125" style="21" customWidth="1"/>
    <col min="13824" max="13827" width="11.42578125" style="21"/>
    <col min="13828" max="13828" width="11.28515625" style="21" customWidth="1"/>
    <col min="13829" max="13829" width="9" style="21" customWidth="1"/>
    <col min="13830" max="13830" width="8.85546875" style="21" customWidth="1"/>
    <col min="13831" max="13831" width="9.7109375" style="21" customWidth="1"/>
    <col min="13832" max="13832" width="9.42578125" style="21" customWidth="1"/>
    <col min="13833" max="14076" width="11.42578125" style="21"/>
    <col min="14077" max="14077" width="18.28515625" style="21" customWidth="1"/>
    <col min="14078" max="14078" width="23.85546875" style="21" customWidth="1"/>
    <col min="14079" max="14079" width="26.5703125" style="21" customWidth="1"/>
    <col min="14080" max="14083" width="11.42578125" style="21"/>
    <col min="14084" max="14084" width="11.28515625" style="21" customWidth="1"/>
    <col min="14085" max="14085" width="9" style="21" customWidth="1"/>
    <col min="14086" max="14086" width="8.85546875" style="21" customWidth="1"/>
    <col min="14087" max="14087" width="9.7109375" style="21" customWidth="1"/>
    <col min="14088" max="14088" width="9.42578125" style="21" customWidth="1"/>
    <col min="14089" max="14332" width="11.42578125" style="21"/>
    <col min="14333" max="14333" width="18.28515625" style="21" customWidth="1"/>
    <col min="14334" max="14334" width="23.85546875" style="21" customWidth="1"/>
    <col min="14335" max="14335" width="26.5703125" style="21" customWidth="1"/>
    <col min="14336" max="14339" width="11.42578125" style="21"/>
    <col min="14340" max="14340" width="11.28515625" style="21" customWidth="1"/>
    <col min="14341" max="14341" width="9" style="21" customWidth="1"/>
    <col min="14342" max="14342" width="8.85546875" style="21" customWidth="1"/>
    <col min="14343" max="14343" width="9.7109375" style="21" customWidth="1"/>
    <col min="14344" max="14344" width="9.42578125" style="21" customWidth="1"/>
    <col min="14345" max="14588" width="11.42578125" style="21"/>
    <col min="14589" max="14589" width="18.28515625" style="21" customWidth="1"/>
    <col min="14590" max="14590" width="23.85546875" style="21" customWidth="1"/>
    <col min="14591" max="14591" width="26.5703125" style="21" customWidth="1"/>
    <col min="14592" max="14595" width="11.42578125" style="21"/>
    <col min="14596" max="14596" width="11.28515625" style="21" customWidth="1"/>
    <col min="14597" max="14597" width="9" style="21" customWidth="1"/>
    <col min="14598" max="14598" width="8.85546875" style="21" customWidth="1"/>
    <col min="14599" max="14599" width="9.7109375" style="21" customWidth="1"/>
    <col min="14600" max="14600" width="9.42578125" style="21" customWidth="1"/>
    <col min="14601" max="14844" width="11.42578125" style="21"/>
    <col min="14845" max="14845" width="18.28515625" style="21" customWidth="1"/>
    <col min="14846" max="14846" width="23.85546875" style="21" customWidth="1"/>
    <col min="14847" max="14847" width="26.5703125" style="21" customWidth="1"/>
    <col min="14848" max="14851" width="11.42578125" style="21"/>
    <col min="14852" max="14852" width="11.28515625" style="21" customWidth="1"/>
    <col min="14853" max="14853" width="9" style="21" customWidth="1"/>
    <col min="14854" max="14854" width="8.85546875" style="21" customWidth="1"/>
    <col min="14855" max="14855" width="9.7109375" style="21" customWidth="1"/>
    <col min="14856" max="14856" width="9.42578125" style="21" customWidth="1"/>
    <col min="14857" max="15100" width="11.42578125" style="21"/>
    <col min="15101" max="15101" width="18.28515625" style="21" customWidth="1"/>
    <col min="15102" max="15102" width="23.85546875" style="21" customWidth="1"/>
    <col min="15103" max="15103" width="26.5703125" style="21" customWidth="1"/>
    <col min="15104" max="15107" width="11.42578125" style="21"/>
    <col min="15108" max="15108" width="11.28515625" style="21" customWidth="1"/>
    <col min="15109" max="15109" width="9" style="21" customWidth="1"/>
    <col min="15110" max="15110" width="8.85546875" style="21" customWidth="1"/>
    <col min="15111" max="15111" width="9.7109375" style="21" customWidth="1"/>
    <col min="15112" max="15112" width="9.42578125" style="21" customWidth="1"/>
    <col min="15113" max="15356" width="11.42578125" style="21"/>
    <col min="15357" max="15357" width="18.28515625" style="21" customWidth="1"/>
    <col min="15358" max="15358" width="23.85546875" style="21" customWidth="1"/>
    <col min="15359" max="15359" width="26.5703125" style="21" customWidth="1"/>
    <col min="15360" max="15363" width="11.42578125" style="21"/>
    <col min="15364" max="15364" width="11.28515625" style="21" customWidth="1"/>
    <col min="15365" max="15365" width="9" style="21" customWidth="1"/>
    <col min="15366" max="15366" width="8.85546875" style="21" customWidth="1"/>
    <col min="15367" max="15367" width="9.7109375" style="21" customWidth="1"/>
    <col min="15368" max="15368" width="9.42578125" style="21" customWidth="1"/>
    <col min="15369" max="15612" width="11.42578125" style="21"/>
    <col min="15613" max="15613" width="18.28515625" style="21" customWidth="1"/>
    <col min="15614" max="15614" width="23.85546875" style="21" customWidth="1"/>
    <col min="15615" max="15615" width="26.5703125" style="21" customWidth="1"/>
    <col min="15616" max="15619" width="11.42578125" style="21"/>
    <col min="15620" max="15620" width="11.28515625" style="21" customWidth="1"/>
    <col min="15621" max="15621" width="9" style="21" customWidth="1"/>
    <col min="15622" max="15622" width="8.85546875" style="21" customWidth="1"/>
    <col min="15623" max="15623" width="9.7109375" style="21" customWidth="1"/>
    <col min="15624" max="15624" width="9.42578125" style="21" customWidth="1"/>
    <col min="15625" max="15868" width="11.42578125" style="21"/>
    <col min="15869" max="15869" width="18.28515625" style="21" customWidth="1"/>
    <col min="15870" max="15870" width="23.85546875" style="21" customWidth="1"/>
    <col min="15871" max="15871" width="26.5703125" style="21" customWidth="1"/>
    <col min="15872" max="15875" width="11.42578125" style="21"/>
    <col min="15876" max="15876" width="11.28515625" style="21" customWidth="1"/>
    <col min="15877" max="15877" width="9" style="21" customWidth="1"/>
    <col min="15878" max="15878" width="8.85546875" style="21" customWidth="1"/>
    <col min="15879" max="15879" width="9.7109375" style="21" customWidth="1"/>
    <col min="15880" max="15880" width="9.42578125" style="21" customWidth="1"/>
    <col min="15881" max="16124" width="11.42578125" style="21"/>
    <col min="16125" max="16125" width="18.28515625" style="21" customWidth="1"/>
    <col min="16126" max="16126" width="23.85546875" style="21" customWidth="1"/>
    <col min="16127" max="16127" width="26.5703125" style="21" customWidth="1"/>
    <col min="16128" max="16131" width="11.42578125" style="21"/>
    <col min="16132" max="16132" width="11.28515625" style="21" customWidth="1"/>
    <col min="16133" max="16133" width="9" style="21" customWidth="1"/>
    <col min="16134" max="16134" width="8.85546875" style="21" customWidth="1"/>
    <col min="16135" max="16135" width="9.7109375" style="21" customWidth="1"/>
    <col min="16136" max="16136" width="9.42578125" style="21" customWidth="1"/>
    <col min="16137" max="16384" width="11.42578125" style="21"/>
  </cols>
  <sheetData>
    <row r="1" spans="1:12" ht="132.75" customHeight="1">
      <c r="A1" s="331"/>
      <c r="B1" s="331"/>
      <c r="C1" s="331"/>
      <c r="D1" s="331"/>
      <c r="E1" s="331"/>
      <c r="F1" s="331"/>
      <c r="G1" s="331"/>
      <c r="H1" s="331"/>
      <c r="I1" s="331"/>
      <c r="J1" s="331"/>
      <c r="K1" s="331"/>
      <c r="L1" s="332"/>
    </row>
    <row r="2" spans="1:12">
      <c r="A2" s="200" t="s">
        <v>35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</row>
    <row r="3" spans="1:12">
      <c r="A3" s="201" t="s">
        <v>36</v>
      </c>
      <c r="B3" s="201"/>
      <c r="C3" s="201"/>
      <c r="D3" s="201"/>
      <c r="E3" s="201"/>
      <c r="F3" s="201"/>
      <c r="G3" s="201"/>
      <c r="H3" s="201"/>
      <c r="I3" s="201"/>
      <c r="J3" s="201"/>
      <c r="K3" s="201"/>
      <c r="L3" s="201"/>
    </row>
    <row r="4" spans="1:12" ht="15.75">
      <c r="A4" s="333" t="s">
        <v>245</v>
      </c>
      <c r="B4" s="334"/>
      <c r="C4" s="204" t="s">
        <v>38</v>
      </c>
      <c r="D4" s="205"/>
      <c r="E4" s="206"/>
      <c r="F4" s="335" t="s">
        <v>247</v>
      </c>
      <c r="G4" s="336"/>
      <c r="H4" s="209" t="s">
        <v>40</v>
      </c>
      <c r="I4" s="210"/>
      <c r="J4" s="210"/>
      <c r="K4" s="210"/>
      <c r="L4" s="211"/>
    </row>
    <row r="5" spans="1:12" ht="15.75">
      <c r="A5" s="333" t="s">
        <v>246</v>
      </c>
      <c r="B5" s="334"/>
      <c r="C5" s="212" t="s">
        <v>42</v>
      </c>
      <c r="D5" s="213"/>
      <c r="E5" s="214"/>
      <c r="F5" s="335" t="s">
        <v>248</v>
      </c>
      <c r="G5" s="336"/>
      <c r="H5" s="209" t="s">
        <v>44</v>
      </c>
      <c r="I5" s="210"/>
      <c r="J5" s="210"/>
      <c r="K5" s="210"/>
      <c r="L5" s="211"/>
    </row>
    <row r="6" spans="1:12" ht="22.5" customHeight="1">
      <c r="A6" s="215" t="s">
        <v>45</v>
      </c>
      <c r="B6" s="216"/>
      <c r="C6" s="22" t="s">
        <v>46</v>
      </c>
      <c r="D6" s="23" t="s">
        <v>47</v>
      </c>
      <c r="E6" s="219" t="s">
        <v>48</v>
      </c>
      <c r="F6" s="220"/>
      <c r="G6" s="221" t="s">
        <v>49</v>
      </c>
      <c r="H6" s="222"/>
      <c r="I6" s="223" t="s">
        <v>50</v>
      </c>
      <c r="J6" s="224"/>
      <c r="K6" s="225"/>
      <c r="L6" s="226"/>
    </row>
    <row r="7" spans="1:12" ht="32.25" customHeight="1">
      <c r="A7" s="217"/>
      <c r="B7" s="218"/>
      <c r="C7" s="22" t="s">
        <v>51</v>
      </c>
      <c r="D7" s="24"/>
      <c r="E7" s="219" t="s">
        <v>52</v>
      </c>
      <c r="F7" s="220"/>
      <c r="G7" s="225"/>
      <c r="H7" s="226"/>
      <c r="I7" s="223" t="s">
        <v>53</v>
      </c>
      <c r="J7" s="224"/>
      <c r="K7" s="225"/>
      <c r="L7" s="226"/>
    </row>
    <row r="8" spans="1:12" ht="30" customHeight="1">
      <c r="A8" s="337" t="s">
        <v>54</v>
      </c>
      <c r="B8" s="337"/>
      <c r="C8" s="337"/>
      <c r="D8" s="337"/>
      <c r="E8" s="337"/>
      <c r="F8" s="337"/>
      <c r="G8" s="337"/>
      <c r="H8" s="337"/>
      <c r="I8" s="337"/>
      <c r="J8" s="337"/>
      <c r="K8" s="337"/>
      <c r="L8" s="338"/>
    </row>
    <row r="9" spans="1:12">
      <c r="A9" s="230" t="s">
        <v>55</v>
      </c>
      <c r="B9" s="232" t="s">
        <v>56</v>
      </c>
      <c r="C9" s="234" t="s">
        <v>57</v>
      </c>
      <c r="D9" s="232" t="s">
        <v>58</v>
      </c>
      <c r="E9" s="236" t="s">
        <v>59</v>
      </c>
      <c r="F9" s="236" t="s">
        <v>60</v>
      </c>
      <c r="G9" s="248" t="s">
        <v>61</v>
      </c>
      <c r="H9" s="248"/>
      <c r="I9" s="248"/>
      <c r="J9" s="248"/>
      <c r="K9" s="248"/>
      <c r="L9" s="248"/>
    </row>
    <row r="10" spans="1:12" ht="30.75" customHeight="1">
      <c r="A10" s="231"/>
      <c r="B10" s="233"/>
      <c r="C10" s="235"/>
      <c r="D10" s="233"/>
      <c r="E10" s="237"/>
      <c r="F10" s="237"/>
      <c r="G10" s="31" t="s">
        <v>62</v>
      </c>
      <c r="H10" s="31" t="s">
        <v>63</v>
      </c>
      <c r="I10" s="31" t="s">
        <v>64</v>
      </c>
      <c r="J10" s="31" t="s">
        <v>65</v>
      </c>
      <c r="K10" s="31" t="s">
        <v>66</v>
      </c>
      <c r="L10" s="31" t="s">
        <v>67</v>
      </c>
    </row>
    <row r="11" spans="1:12" ht="15" customHeight="1">
      <c r="A11" s="109" t="s">
        <v>68</v>
      </c>
      <c r="B11" s="110" t="s">
        <v>69</v>
      </c>
      <c r="C11" s="32" t="s">
        <v>70</v>
      </c>
      <c r="D11" s="33" t="s">
        <v>71</v>
      </c>
      <c r="E11" s="34">
        <v>13</v>
      </c>
      <c r="F11" s="35">
        <v>13</v>
      </c>
      <c r="G11" s="35">
        <v>64.87</v>
      </c>
      <c r="H11" s="36">
        <v>3.4190000000000005</v>
      </c>
      <c r="I11" s="36">
        <v>3.4580000000000002</v>
      </c>
      <c r="J11" s="37">
        <v>4.992</v>
      </c>
      <c r="K11" s="37">
        <v>122.2</v>
      </c>
      <c r="L11" s="36">
        <v>6.5000000000000002E-2</v>
      </c>
    </row>
    <row r="12" spans="1:12" ht="15" customHeight="1">
      <c r="A12" s="109" t="s">
        <v>68</v>
      </c>
      <c r="B12" s="110" t="s">
        <v>69</v>
      </c>
      <c r="C12" s="32" t="s">
        <v>72</v>
      </c>
      <c r="D12" s="33" t="s">
        <v>73</v>
      </c>
      <c r="E12" s="34">
        <v>15</v>
      </c>
      <c r="F12" s="35">
        <v>15</v>
      </c>
      <c r="G12" s="35">
        <v>52.05</v>
      </c>
      <c r="H12" s="36">
        <v>1.32</v>
      </c>
      <c r="I12" s="36">
        <v>0.12</v>
      </c>
      <c r="J12" s="37">
        <v>11.4</v>
      </c>
      <c r="K12" s="37">
        <v>1.05</v>
      </c>
      <c r="L12" s="36">
        <v>0.315</v>
      </c>
    </row>
    <row r="13" spans="1:12" ht="15" customHeight="1">
      <c r="A13" s="109" t="s">
        <v>68</v>
      </c>
      <c r="B13" s="110" t="s">
        <v>69</v>
      </c>
      <c r="C13" s="32" t="s">
        <v>74</v>
      </c>
      <c r="D13" s="38" t="s">
        <v>75</v>
      </c>
      <c r="E13" s="39">
        <v>10</v>
      </c>
      <c r="F13" s="35">
        <v>10</v>
      </c>
      <c r="G13" s="35">
        <v>39.700000000000003</v>
      </c>
      <c r="H13" s="36">
        <v>0</v>
      </c>
      <c r="I13" s="36">
        <v>0</v>
      </c>
      <c r="J13" s="37">
        <v>9.93</v>
      </c>
      <c r="K13" s="37">
        <v>0</v>
      </c>
      <c r="L13" s="36">
        <v>0.01</v>
      </c>
    </row>
    <row r="14" spans="1:12" ht="15" customHeight="1">
      <c r="A14" s="109" t="s">
        <v>76</v>
      </c>
      <c r="B14" s="108" t="s">
        <v>77</v>
      </c>
      <c r="C14" s="32" t="s">
        <v>78</v>
      </c>
      <c r="D14" s="38" t="s">
        <v>79</v>
      </c>
      <c r="E14" s="39">
        <v>55</v>
      </c>
      <c r="F14" s="35">
        <v>49.5</v>
      </c>
      <c r="G14" s="35">
        <v>73.754999999999995</v>
      </c>
      <c r="H14" s="36">
        <v>6.2369999999999992</v>
      </c>
      <c r="I14" s="36">
        <v>5.3460000000000001</v>
      </c>
      <c r="J14" s="37">
        <v>0.14849999999999999</v>
      </c>
      <c r="K14" s="37">
        <v>26.234999999999999</v>
      </c>
      <c r="L14" s="36">
        <v>0.84149999999999991</v>
      </c>
    </row>
    <row r="15" spans="1:12" ht="15" customHeight="1">
      <c r="A15" s="109" t="s">
        <v>76</v>
      </c>
      <c r="B15" s="108" t="s">
        <v>77</v>
      </c>
      <c r="C15" s="32" t="s">
        <v>80</v>
      </c>
      <c r="D15" s="38" t="s">
        <v>81</v>
      </c>
      <c r="E15" s="39">
        <v>10</v>
      </c>
      <c r="F15" s="35">
        <v>9.5</v>
      </c>
      <c r="G15" s="35">
        <v>3.8</v>
      </c>
      <c r="H15" s="36">
        <v>0.13299999999999998</v>
      </c>
      <c r="I15" s="36">
        <v>9.5000000000000015E-3</v>
      </c>
      <c r="J15" s="37">
        <v>0.73150000000000004</v>
      </c>
      <c r="K15" s="37">
        <v>2.2799999999999998</v>
      </c>
      <c r="L15" s="36">
        <v>2.8500000000000001E-2</v>
      </c>
    </row>
    <row r="16" spans="1:12" ht="15" customHeight="1">
      <c r="A16" s="109" t="s">
        <v>76</v>
      </c>
      <c r="B16" s="108" t="s">
        <v>77</v>
      </c>
      <c r="C16" s="32" t="s">
        <v>82</v>
      </c>
      <c r="D16" s="38" t="s">
        <v>83</v>
      </c>
      <c r="E16" s="39">
        <v>10</v>
      </c>
      <c r="F16" s="35">
        <v>8</v>
      </c>
      <c r="G16" s="35">
        <v>1.84</v>
      </c>
      <c r="H16" s="36">
        <v>7.2000000000000008E-2</v>
      </c>
      <c r="I16" s="36">
        <v>8.0000000000000002E-3</v>
      </c>
      <c r="J16" s="37">
        <v>0.32799999999999996</v>
      </c>
      <c r="K16" s="37">
        <v>0.72</v>
      </c>
      <c r="L16" s="36">
        <v>0.04</v>
      </c>
    </row>
    <row r="17" spans="1:12" ht="15" customHeight="1">
      <c r="A17" s="109" t="s">
        <v>76</v>
      </c>
      <c r="B17" s="108" t="s">
        <v>77</v>
      </c>
      <c r="C17" s="32" t="s">
        <v>84</v>
      </c>
      <c r="D17" s="38" t="s">
        <v>85</v>
      </c>
      <c r="E17" s="39">
        <v>1</v>
      </c>
      <c r="F17" s="35">
        <v>0.95</v>
      </c>
      <c r="G17" s="35">
        <v>1.3679999999999999</v>
      </c>
      <c r="H17" s="36">
        <v>4.4649999999999995E-2</v>
      </c>
      <c r="I17" s="36">
        <v>2.8499999999999997E-3</v>
      </c>
      <c r="J17" s="37">
        <v>0.27834999999999999</v>
      </c>
      <c r="K17" s="37">
        <v>0.38</v>
      </c>
      <c r="L17" s="36">
        <v>1.2349999999999998E-2</v>
      </c>
    </row>
    <row r="18" spans="1:12" ht="15" customHeight="1">
      <c r="A18" s="109" t="s">
        <v>76</v>
      </c>
      <c r="B18" s="108" t="s">
        <v>77</v>
      </c>
      <c r="C18" s="32" t="s">
        <v>86</v>
      </c>
      <c r="D18" s="38" t="s">
        <v>87</v>
      </c>
      <c r="E18" s="40">
        <v>1</v>
      </c>
      <c r="F18" s="35">
        <v>1</v>
      </c>
      <c r="G18" s="35">
        <v>0</v>
      </c>
      <c r="H18" s="36">
        <v>0</v>
      </c>
      <c r="I18" s="36">
        <v>0</v>
      </c>
      <c r="J18" s="37">
        <v>0</v>
      </c>
      <c r="K18" s="37">
        <v>0.24</v>
      </c>
      <c r="L18" s="36">
        <v>3.0000000000000001E-3</v>
      </c>
    </row>
    <row r="19" spans="1:12" ht="18" customHeight="1">
      <c r="A19" s="109" t="s">
        <v>76</v>
      </c>
      <c r="B19" s="108" t="s">
        <v>77</v>
      </c>
      <c r="C19" s="32" t="s">
        <v>88</v>
      </c>
      <c r="D19" s="38" t="s">
        <v>89</v>
      </c>
      <c r="E19" s="34">
        <v>5</v>
      </c>
      <c r="F19" s="35">
        <v>5</v>
      </c>
      <c r="G19" s="35">
        <v>45</v>
      </c>
      <c r="H19" s="36">
        <v>0</v>
      </c>
      <c r="I19" s="36">
        <v>5</v>
      </c>
      <c r="J19" s="37">
        <v>0</v>
      </c>
      <c r="K19" s="37">
        <v>0</v>
      </c>
      <c r="L19" s="36">
        <v>0</v>
      </c>
    </row>
    <row r="20" spans="1:12" ht="29.25" customHeight="1">
      <c r="A20" s="41" t="s">
        <v>90</v>
      </c>
      <c r="B20" s="42" t="s">
        <v>91</v>
      </c>
      <c r="C20" s="32" t="s">
        <v>92</v>
      </c>
      <c r="D20" s="38" t="s">
        <v>93</v>
      </c>
      <c r="E20" s="39">
        <v>50</v>
      </c>
      <c r="F20" s="104">
        <v>50</v>
      </c>
      <c r="G20" s="104">
        <v>134</v>
      </c>
      <c r="H20" s="105">
        <v>4.45</v>
      </c>
      <c r="I20" s="105">
        <v>1.7</v>
      </c>
      <c r="J20" s="106">
        <v>24.4</v>
      </c>
      <c r="K20" s="106">
        <v>27</v>
      </c>
      <c r="L20" s="105">
        <v>1.5</v>
      </c>
    </row>
    <row r="21" spans="1:12" ht="24.75" customHeight="1">
      <c r="A21" s="43" t="s">
        <v>94</v>
      </c>
      <c r="B21" s="44" t="s">
        <v>95</v>
      </c>
      <c r="C21" s="32" t="s">
        <v>96</v>
      </c>
      <c r="D21" s="38" t="s">
        <v>97</v>
      </c>
      <c r="E21" s="39">
        <v>100</v>
      </c>
      <c r="F21" s="35">
        <v>70</v>
      </c>
      <c r="G21" s="35">
        <v>70.7</v>
      </c>
      <c r="H21" s="36">
        <v>1.05</v>
      </c>
      <c r="I21" s="36">
        <v>7.0000000000000007E-2</v>
      </c>
      <c r="J21" s="37">
        <v>15.61</v>
      </c>
      <c r="K21" s="37">
        <v>5.6</v>
      </c>
      <c r="L21" s="36">
        <v>0.63</v>
      </c>
    </row>
  </sheetData>
  <mergeCells count="28">
    <mergeCell ref="A8:L8"/>
    <mergeCell ref="A9:A10"/>
    <mergeCell ref="B9:B10"/>
    <mergeCell ref="C9:C10"/>
    <mergeCell ref="D9:D10"/>
    <mergeCell ref="E9:E10"/>
    <mergeCell ref="F9:F10"/>
    <mergeCell ref="G9:L9"/>
    <mergeCell ref="A5:B5"/>
    <mergeCell ref="C5:E5"/>
    <mergeCell ref="F5:G5"/>
    <mergeCell ref="H5:L5"/>
    <mergeCell ref="A6:B7"/>
    <mergeCell ref="E6:F6"/>
    <mergeCell ref="G6:H6"/>
    <mergeCell ref="I6:J6"/>
    <mergeCell ref="K6:L6"/>
    <mergeCell ref="E7:F7"/>
    <mergeCell ref="G7:H7"/>
    <mergeCell ref="I7:J7"/>
    <mergeCell ref="K7:L7"/>
    <mergeCell ref="A1:L1"/>
    <mergeCell ref="A2:L2"/>
    <mergeCell ref="A3:L3"/>
    <mergeCell ref="A4:B4"/>
    <mergeCell ref="C4:E4"/>
    <mergeCell ref="F4:G4"/>
    <mergeCell ref="H4:L4"/>
  </mergeCells>
  <printOptions horizontalCentered="1"/>
  <pageMargins left="0.31496062992125984" right="0.31496062992125984" top="0.35433070866141736" bottom="0.35433070866141736" header="0" footer="0"/>
  <pageSetup scale="73" orientation="landscape" r:id="rId1"/>
  <drawing r:id="rId2"/>
  <legacyDrawing r:id="rId3"/>
  <controls>
    <mc:AlternateContent xmlns:mc="http://schemas.openxmlformats.org/markup-compatibility/2006">
      <mc:Choice Requires="x14">
        <control shapeId="11276" r:id="rId4" name="ComboTiempo">
          <controlPr defaultSize="0" autoLine="0" autoPict="0" r:id="rId5">
            <anchor moveWithCells="1">
              <from>
                <xdr:col>0</xdr:col>
                <xdr:colOff>142875</xdr:colOff>
                <xdr:row>0</xdr:row>
                <xdr:rowOff>800100</xdr:rowOff>
              </from>
              <to>
                <xdr:col>1</xdr:col>
                <xdr:colOff>190500</xdr:colOff>
                <xdr:row>0</xdr:row>
                <xdr:rowOff>1076325</xdr:rowOff>
              </to>
            </anchor>
          </controlPr>
        </control>
      </mc:Choice>
      <mc:Fallback>
        <control shapeId="11276" r:id="rId4" name="ComboTiempo"/>
      </mc:Fallback>
    </mc:AlternateContent>
    <mc:AlternateContent xmlns:mc="http://schemas.openxmlformats.org/markup-compatibility/2006">
      <mc:Choice Requires="x14">
        <control shapeId="11267" r:id="rId6" name="ComboMinuta">
          <controlPr defaultSize="0" autoLine="0" r:id="rId7">
            <anchor moveWithCells="1">
              <from>
                <xdr:col>1</xdr:col>
                <xdr:colOff>38100</xdr:colOff>
                <xdr:row>0</xdr:row>
                <xdr:rowOff>228600</xdr:rowOff>
              </from>
              <to>
                <xdr:col>2</xdr:col>
                <xdr:colOff>647700</xdr:colOff>
                <xdr:row>0</xdr:row>
                <xdr:rowOff>504825</xdr:rowOff>
              </to>
            </anchor>
          </controlPr>
        </control>
      </mc:Choice>
      <mc:Fallback>
        <control shapeId="11267" r:id="rId6" name="ComboMinuta"/>
      </mc:Fallback>
    </mc:AlternateContent>
    <mc:AlternateContent xmlns:mc="http://schemas.openxmlformats.org/markup-compatibility/2006">
      <mc:Choice Requires="x14">
        <control shapeId="11277" r:id="rId8" name="ComboMenu">
          <controlPr defaultSize="0" autoLine="0" r:id="rId9">
            <anchor moveWithCells="1">
              <from>
                <xdr:col>0</xdr:col>
                <xdr:colOff>133350</xdr:colOff>
                <xdr:row>0</xdr:row>
                <xdr:rowOff>1123950</xdr:rowOff>
              </from>
              <to>
                <xdr:col>0</xdr:col>
                <xdr:colOff>1285875</xdr:colOff>
                <xdr:row>0</xdr:row>
                <xdr:rowOff>1400175</xdr:rowOff>
              </to>
            </anchor>
          </controlPr>
        </control>
      </mc:Choice>
      <mc:Fallback>
        <control shapeId="11277" r:id="rId8" name="ComboMenu"/>
      </mc:Fallback>
    </mc:AlternateContent>
    <mc:AlternateContent xmlns:mc="http://schemas.openxmlformats.org/markup-compatibility/2006">
      <mc:Choice Requires="x14">
        <control shapeId="11265" r:id="rId10" name="Group Box 1">
          <controlPr defaultSize="0" autoFill="0" autoPict="0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714375</xdr:colOff>
                <xdr:row>0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1" name="Button 4">
          <controlPr defaultSize="0" print="0" autoFill="0" autoPict="0" macro="[0]!Botón4_Haga_clic_en">
            <anchor moveWithCells="1" sizeWithCells="1">
              <from>
                <xdr:col>0</xdr:col>
                <xdr:colOff>171450</xdr:colOff>
                <xdr:row>0</xdr:row>
                <xdr:rowOff>266700</xdr:rowOff>
              </from>
              <to>
                <xdr:col>0</xdr:col>
                <xdr:colOff>685800</xdr:colOff>
                <xdr:row>0</xdr:row>
                <xdr:rowOff>485775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2" name="Group Box 5">
          <controlPr defaultSize="0" autoFill="0" autoPict="0">
            <anchor moveWithCells="1">
              <from>
                <xdr:col>0</xdr:col>
                <xdr:colOff>47625</xdr:colOff>
                <xdr:row>0</xdr:row>
                <xdr:rowOff>695325</xdr:rowOff>
              </from>
              <to>
                <xdr:col>1</xdr:col>
                <xdr:colOff>466725</xdr:colOff>
                <xdr:row>0</xdr:row>
                <xdr:rowOff>1457325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1" r:id="rId13" name="Button 7">
          <controlPr defaultSize="0" print="0" autoFill="0" autoPict="0">
            <anchor moveWithCells="1" sizeWithCells="1">
              <from>
                <xdr:col>1</xdr:col>
                <xdr:colOff>685800</xdr:colOff>
                <xdr:row>0</xdr:row>
                <xdr:rowOff>876300</xdr:rowOff>
              </from>
              <to>
                <xdr:col>2</xdr:col>
                <xdr:colOff>104775</xdr:colOff>
                <xdr:row>0</xdr:row>
                <xdr:rowOff>1314450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2" r:id="rId14" name="Button 8">
          <controlPr defaultSize="0" print="0" autoFill="0" autoPict="0">
            <anchor moveWithCells="1" sizeWithCells="1">
              <from>
                <xdr:col>0</xdr:col>
                <xdr:colOff>790575</xdr:colOff>
                <xdr:row>0</xdr:row>
                <xdr:rowOff>257175</xdr:rowOff>
              </from>
              <to>
                <xdr:col>0</xdr:col>
                <xdr:colOff>1304925</xdr:colOff>
                <xdr:row>0</xdr:row>
                <xdr:rowOff>476250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3" r:id="rId15" name="Button 9">
          <controlPr defaultSize="0" print="0" autoFill="0" autoPict="0">
            <anchor moveWithCells="1" sizeWithCells="1">
              <from>
                <xdr:col>2</xdr:col>
                <xdr:colOff>257175</xdr:colOff>
                <xdr:row>0</xdr:row>
                <xdr:rowOff>819150</xdr:rowOff>
              </from>
              <to>
                <xdr:col>2</xdr:col>
                <xdr:colOff>581025</xdr:colOff>
                <xdr:row>0</xdr:row>
                <xdr:rowOff>1038225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4" r:id="rId16" name="Button 10">
          <controlPr defaultSize="0" print="0" autoFill="0" autoPict="0">
            <anchor moveWithCells="1" sizeWithCells="1">
              <from>
                <xdr:col>2</xdr:col>
                <xdr:colOff>257175</xdr:colOff>
                <xdr:row>0</xdr:row>
                <xdr:rowOff>1133475</xdr:rowOff>
              </from>
              <to>
                <xdr:col>2</xdr:col>
                <xdr:colOff>581025</xdr:colOff>
                <xdr:row>0</xdr:row>
                <xdr:rowOff>1352550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8" r:id="rId17" name="Group Box 14">
          <controlPr defaultSize="0" autoFill="0" autoPict="0">
            <anchor moveWithCells="1">
              <from>
                <xdr:col>1</xdr:col>
                <xdr:colOff>523875</xdr:colOff>
                <xdr:row>0</xdr:row>
                <xdr:rowOff>704850</xdr:rowOff>
              </from>
              <to>
                <xdr:col>2</xdr:col>
                <xdr:colOff>714375</xdr:colOff>
                <xdr:row>0</xdr:row>
                <xdr:rowOff>1466850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FB407-526F-4905-AC55-FD52368DA0DD}">
  <sheetPr codeName="Hoja9"/>
  <dimension ref="A1:L9"/>
  <sheetViews>
    <sheetView workbookViewId="0">
      <selection activeCell="F18" sqref="F18"/>
    </sheetView>
  </sheetViews>
  <sheetFormatPr baseColWidth="10" defaultRowHeight="15"/>
  <sheetData>
    <row r="1" spans="1:12">
      <c r="A1" s="200" t="s">
        <v>35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</row>
    <row r="2" spans="1:12">
      <c r="A2" s="201" t="s">
        <v>36</v>
      </c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</row>
    <row r="3" spans="1:12" ht="15.75">
      <c r="A3" s="333" t="s">
        <v>245</v>
      </c>
      <c r="B3" s="334"/>
      <c r="C3" s="204" t="s">
        <v>38</v>
      </c>
      <c r="D3" s="205"/>
      <c r="E3" s="206"/>
      <c r="F3" s="335" t="s">
        <v>247</v>
      </c>
      <c r="G3" s="336"/>
      <c r="H3" s="209" t="s">
        <v>40</v>
      </c>
      <c r="I3" s="210"/>
      <c r="J3" s="210"/>
      <c r="K3" s="210"/>
      <c r="L3" s="211"/>
    </row>
    <row r="4" spans="1:12" ht="15.75">
      <c r="A4" s="333" t="s">
        <v>246</v>
      </c>
      <c r="B4" s="334"/>
      <c r="C4" s="212" t="s">
        <v>42</v>
      </c>
      <c r="D4" s="213"/>
      <c r="E4" s="214"/>
      <c r="F4" s="335" t="s">
        <v>248</v>
      </c>
      <c r="G4" s="336"/>
      <c r="H4" s="209" t="s">
        <v>44</v>
      </c>
      <c r="I4" s="210"/>
      <c r="J4" s="210"/>
      <c r="K4" s="210"/>
      <c r="L4" s="211"/>
    </row>
    <row r="5" spans="1:12">
      <c r="A5" s="215" t="s">
        <v>45</v>
      </c>
      <c r="B5" s="216"/>
      <c r="C5" s="22" t="s">
        <v>46</v>
      </c>
      <c r="D5" s="23" t="s">
        <v>47</v>
      </c>
      <c r="E5" s="219" t="s">
        <v>48</v>
      </c>
      <c r="F5" s="220"/>
      <c r="G5" s="221" t="s">
        <v>49</v>
      </c>
      <c r="H5" s="222"/>
      <c r="I5" s="223" t="s">
        <v>50</v>
      </c>
      <c r="J5" s="224"/>
      <c r="K5" s="225"/>
      <c r="L5" s="226"/>
    </row>
    <row r="6" spans="1:12">
      <c r="A6" s="217"/>
      <c r="B6" s="218"/>
      <c r="C6" s="22" t="s">
        <v>51</v>
      </c>
      <c r="D6" s="24"/>
      <c r="E6" s="219" t="s">
        <v>52</v>
      </c>
      <c r="F6" s="220"/>
      <c r="G6" s="225"/>
      <c r="H6" s="226"/>
      <c r="I6" s="223" t="s">
        <v>53</v>
      </c>
      <c r="J6" s="224"/>
      <c r="K6" s="225"/>
      <c r="L6" s="226"/>
    </row>
    <row r="7" spans="1:12" ht="27.75">
      <c r="A7" s="337" t="s">
        <v>54</v>
      </c>
      <c r="B7" s="337"/>
      <c r="C7" s="337"/>
      <c r="D7" s="337"/>
      <c r="E7" s="337"/>
      <c r="F7" s="337"/>
      <c r="G7" s="337"/>
      <c r="H7" s="337"/>
      <c r="I7" s="337"/>
      <c r="J7" s="337"/>
      <c r="K7" s="337"/>
      <c r="L7" s="338"/>
    </row>
    <row r="8" spans="1:12">
      <c r="A8" s="230" t="s">
        <v>55</v>
      </c>
      <c r="B8" s="232" t="s">
        <v>56</v>
      </c>
      <c r="C8" s="234" t="s">
        <v>57</v>
      </c>
      <c r="D8" s="232" t="s">
        <v>58</v>
      </c>
      <c r="E8" s="236" t="s">
        <v>59</v>
      </c>
      <c r="F8" s="236" t="s">
        <v>60</v>
      </c>
      <c r="G8" s="248" t="s">
        <v>61</v>
      </c>
      <c r="H8" s="248"/>
      <c r="I8" s="248"/>
      <c r="J8" s="248"/>
      <c r="K8" s="248"/>
      <c r="L8" s="248"/>
    </row>
    <row r="9" spans="1:12" ht="22.5">
      <c r="A9" s="230"/>
      <c r="B9" s="232"/>
      <c r="C9" s="234"/>
      <c r="D9" s="232"/>
      <c r="E9" s="236"/>
      <c r="F9" s="236"/>
      <c r="G9" s="107" t="s">
        <v>62</v>
      </c>
      <c r="H9" s="107" t="s">
        <v>63</v>
      </c>
      <c r="I9" s="107" t="s">
        <v>64</v>
      </c>
      <c r="J9" s="107" t="s">
        <v>65</v>
      </c>
      <c r="K9" s="107" t="s">
        <v>66</v>
      </c>
      <c r="L9" s="107" t="s">
        <v>67</v>
      </c>
    </row>
  </sheetData>
  <mergeCells count="27">
    <mergeCell ref="G8:L8"/>
    <mergeCell ref="G6:H6"/>
    <mergeCell ref="I6:J6"/>
    <mergeCell ref="K6:L6"/>
    <mergeCell ref="A7:L7"/>
    <mergeCell ref="A8:A9"/>
    <mergeCell ref="B8:B9"/>
    <mergeCell ref="C8:C9"/>
    <mergeCell ref="D8:D9"/>
    <mergeCell ref="E8:E9"/>
    <mergeCell ref="F8:F9"/>
    <mergeCell ref="A4:B4"/>
    <mergeCell ref="C4:E4"/>
    <mergeCell ref="F4:G4"/>
    <mergeCell ref="H4:L4"/>
    <mergeCell ref="A5:B6"/>
    <mergeCell ref="E5:F5"/>
    <mergeCell ref="G5:H5"/>
    <mergeCell ref="I5:J5"/>
    <mergeCell ref="K5:L5"/>
    <mergeCell ref="E6:F6"/>
    <mergeCell ref="A1:L1"/>
    <mergeCell ref="A2:L2"/>
    <mergeCell ref="A3:B3"/>
    <mergeCell ref="C3:E3"/>
    <mergeCell ref="F3:G3"/>
    <mergeCell ref="H3:L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14BE2-11DC-4EA9-B112-D3D6FEBE2F3E}">
  <sheetPr codeName="Hoja5"/>
  <dimension ref="A1"/>
  <sheetViews>
    <sheetView workbookViewId="0">
      <selection activeCell="K18" sqref="K18"/>
    </sheetView>
  </sheetViews>
  <sheetFormatPr baseColWidth="10"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CBFD-21F3-416F-8EE7-BF4ED6FC936C}">
  <sheetPr codeName="Hoja7"/>
  <dimension ref="A1"/>
  <sheetViews>
    <sheetView workbookViewId="0">
      <selection activeCell="B4" sqref="B4"/>
    </sheetView>
  </sheetViews>
  <sheetFormatPr baseColWidth="10"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8E3A5-475B-47B4-A6D9-1CE9C8986111}">
  <sheetPr codeName="Hoja8"/>
  <dimension ref="B2:B3"/>
  <sheetViews>
    <sheetView workbookViewId="0">
      <selection activeCell="N38" sqref="N38"/>
    </sheetView>
  </sheetViews>
  <sheetFormatPr baseColWidth="10" defaultRowHeight="15"/>
  <sheetData>
    <row r="2" spans="2:2">
      <c r="B2" s="175"/>
    </row>
    <row r="3" spans="2:2">
      <c r="B3" s="175"/>
    </row>
  </sheetData>
  <mergeCells count="1">
    <mergeCell ref="B2:B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1</xdr:col>
                <xdr:colOff>47625</xdr:colOff>
                <xdr:row>1</xdr:row>
                <xdr:rowOff>28575</xdr:rowOff>
              </from>
              <to>
                <xdr:col>1</xdr:col>
                <xdr:colOff>723900</xdr:colOff>
                <xdr:row>2</xdr:row>
                <xdr:rowOff>142875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9</vt:i4>
      </vt:variant>
    </vt:vector>
  </HeadingPairs>
  <TitlesOfParts>
    <vt:vector size="24" baseType="lpstr">
      <vt:lpstr>Hoja1</vt:lpstr>
      <vt:lpstr>Hoja1 (2)</vt:lpstr>
      <vt:lpstr>PEDIDO</vt:lpstr>
      <vt:lpstr>CALENDARIO ESCOLAR</vt:lpstr>
      <vt:lpstr>PANEL DE CONTROL</vt:lpstr>
      <vt:lpstr>Hoja2</vt:lpstr>
      <vt:lpstr>PARAMETROS</vt:lpstr>
      <vt:lpstr>CALENDARIO</vt:lpstr>
      <vt:lpstr>FRECUENCIA</vt:lpstr>
      <vt:lpstr>ANALISIS_NUTRICIONAL</vt:lpstr>
      <vt:lpstr>ANALISIS_NUTRICIONAL_IMPORTAR</vt:lpstr>
      <vt:lpstr>ESTRUCTURAS</vt:lpstr>
      <vt:lpstr>EMPRESA</vt:lpstr>
      <vt:lpstr>CUPOS</vt:lpstr>
      <vt:lpstr>ANEXO_6A_IMPORTAR</vt:lpstr>
      <vt:lpstr>ANALISIS_NUTRICIONAL!Área_de_impresión</vt:lpstr>
      <vt:lpstr>ANALISIS_NUTRICIONAL_IMPORTAR!Área_de_impresión</vt:lpstr>
      <vt:lpstr>CALENDARIO!Área_de_impresión</vt:lpstr>
      <vt:lpstr>FRECUENCIA!Área_de_impresión</vt:lpstr>
      <vt:lpstr>Hoja1!Área_de_impresión</vt:lpstr>
      <vt:lpstr>'Hoja1 (2)'!Área_de_impresión</vt:lpstr>
      <vt:lpstr>PEDIDO!Área_de_impresión</vt:lpstr>
      <vt:lpstr>ANALISIS_NUTRICIONAL!Títulos_a_imprimir</vt:lpstr>
      <vt:lpstr>ANALISIS_NUTRICIONAL_IMPORTAR!Títulos_a_imprimir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Epieyu</dc:creator>
  <cp:lastModifiedBy>Carlos Epieyu</cp:lastModifiedBy>
  <cp:lastPrinted>2022-02-24T15:01:50Z</cp:lastPrinted>
  <dcterms:created xsi:type="dcterms:W3CDTF">2018-05-24T14:40:00Z</dcterms:created>
  <dcterms:modified xsi:type="dcterms:W3CDTF">2022-07-02T11:34:13Z</dcterms:modified>
</cp:coreProperties>
</file>